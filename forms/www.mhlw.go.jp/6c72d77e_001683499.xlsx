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ms-excel.controlproperties+xml" PartName="/xl/ctrlProps/ctrlProp8.xml"/>
  <Override ContentType="application/vnd.ms-excel.controlproperties+xml" PartName="/xl/ctrlProps/ctrlProp9.xml"/>
  <Override ContentType="application/vnd.ms-excel.controlproperties+xml" PartName="/xl/ctrlProps/ctrlProp10.xml"/>
  <Override ContentType="application/vnd.ms-excel.controlproperties+xml" PartName="/xl/ctrlProps/ctrlProp11.xml"/>
  <Override ContentType="application/vnd.ms-excel.controlproperties+xml" PartName="/xl/ctrlProps/ctrlProp12.xml"/>
  <Override ContentType="application/vnd.ms-excel.controlproperties+xml" PartName="/xl/ctrlProps/ctrlProp13.xml"/>
  <Override ContentType="application/vnd.ms-excel.controlproperties+xml" PartName="/xl/ctrlProps/ctrlProp14.xml"/>
  <Override ContentType="application/vnd.ms-excel.controlproperties+xml" PartName="/xl/ctrlProps/ctrlProp15.xml"/>
  <Override ContentType="application/vnd.ms-excel.controlproperties+xml" PartName="/xl/ctrlProps/ctrlProp16.xml"/>
  <Override ContentType="application/vnd.ms-excel.controlproperties+xml" PartName="/xl/ctrlProps/ctrlProp17.xml"/>
  <Override ContentType="application/vnd.ms-excel.controlproperties+xml" PartName="/xl/ctrlProps/ctrlProp18.xml"/>
  <Override ContentType="application/vnd.ms-excel.controlproperties+xml" PartName="/xl/ctrlProps/ctrlProp19.xml"/>
  <Override ContentType="application/vnd.ms-excel.controlproperties+xml" PartName="/xl/ctrlProps/ctrlProp20.xml"/>
  <Override ContentType="application/vnd.ms-excel.controlproperties+xml" PartName="/xl/ctrlProps/ctrlProp21.xml"/>
  <Override ContentType="application/vnd.ms-excel.controlproperties+xml" PartName="/xl/ctrlProps/ctrlProp22.xml"/>
  <Override ContentType="application/vnd.ms-excel.controlproperties+xml" PartName="/xl/ctrlProps/ctrlProp23.xml"/>
  <Override ContentType="application/vnd.ms-excel.controlproperties+xml" PartName="/xl/ctrlProps/ctrlProp24.xml"/>
  <Override ContentType="application/vnd.ms-excel.controlproperties+xml" PartName="/xl/ctrlProps/ctrlProp25.xml"/>
  <Override ContentType="application/vnd.ms-excel.controlproperties+xml" PartName="/xl/ctrlProps/ctrlProp26.xml"/>
  <Override ContentType="application/vnd.ms-excel.controlproperties+xml" PartName="/xl/ctrlProps/ctrlProp27.xml"/>
  <Override ContentType="application/vnd.ms-excel.controlproperties+xml" PartName="/xl/ctrlProps/ctrlProp28.xml"/>
  <Override ContentType="application/vnd.ms-excel.controlproperties+xml" PartName="/xl/ctrlProps/ctrlProp29.xml"/>
  <Override ContentType="application/vnd.ms-excel.controlproperties+xml" PartName="/xl/ctrlProps/ctrlProp30.xml"/>
  <Override ContentType="application/vnd.ms-excel.controlproperties+xml" PartName="/xl/ctrlProps/ctrlProp31.xml"/>
  <Override ContentType="application/vnd.ms-excel.controlproperties+xml" PartName="/xl/ctrlProps/ctrlProp32.xml"/>
  <Override ContentType="application/vnd.ms-excel.controlproperties+xml" PartName="/xl/ctrlProps/ctrlProp33.xml"/>
  <Override ContentType="application/vnd.ms-excel.controlproperties+xml" PartName="/xl/ctrlProps/ctrlProp34.xml"/>
  <Override ContentType="application/vnd.ms-excel.controlproperties+xml" PartName="/xl/ctrlProps/ctrlProp35.xml"/>
  <Override ContentType="application/vnd.ms-excel.controlproperties+xml" PartName="/xl/ctrlProps/ctrlProp36.xml"/>
  <Override ContentType="application/vnd.ms-excel.controlproperties+xml" PartName="/xl/ctrlProps/ctrlProp37.xml"/>
  <Override ContentType="application/vnd.ms-excel.controlproperties+xml" PartName="/xl/ctrlProps/ctrlProp38.xml"/>
  <Override ContentType="application/vnd.ms-excel.controlproperties+xml" PartName="/xl/ctrlProps/ctrlProp39.xml"/>
  <Override ContentType="application/vnd.ms-excel.controlproperties+xml" PartName="/xl/ctrlProps/ctrlProp40.xml"/>
  <Override ContentType="application/vnd.ms-excel.controlproperties+xml" PartName="/xl/ctrlProps/ctrlProp41.xml"/>
  <Override ContentType="application/vnd.ms-excel.controlproperties+xml" PartName="/xl/ctrlProps/ctrlProp4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showInkAnnotation="0" codeName="ThisWorkbook"/>
  <xr:revisionPtr revIDLastSave="94" documentId="14_{E9E2F105-9191-4EF2-810E-5AA77840DB75}" xr6:coauthVersionLast="47" xr6:coauthVersionMax="47" xr10:uidLastSave="{5B90A906-6ED5-4275-89BF-F55BA906AB98}"/>
  <bookViews>
    <workbookView xWindow="28680" yWindow="-120" windowWidth="29040" windowHeight="15720" xr2:uid="{00000000-000D-0000-FFFF-FFFF00000000}"/>
  </bookViews>
  <sheets>
    <sheet name="様式第３号（別添様式３）" sheetId="5" r:id="rId1"/>
  </sheets>
  <definedNames>
    <definedName name="_xlnm.Print_Area" localSheetId="0">'様式第３号（別添様式３）'!$A$1:$BR$77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47" i="5" l="1"/>
  <c r="BS37" i="5" l="1"/>
  <c r="BU37" i="5" s="1"/>
  <c r="BS35" i="5"/>
  <c r="BU35" i="5" s="1"/>
  <c r="BF36" i="5" s="1"/>
  <c r="BS33" i="5"/>
  <c r="BU33" i="5" s="1"/>
  <c r="BS31" i="5"/>
  <c r="BU31" i="5" s="1"/>
  <c r="BS25" i="5"/>
  <c r="BU25" i="5" s="1"/>
  <c r="BS27" i="5"/>
  <c r="BU27" i="5" s="1"/>
  <c r="BS23" i="5"/>
  <c r="BU23" i="5" s="1"/>
  <c r="BS21" i="5"/>
  <c r="BU21" i="5" s="1"/>
  <c r="Z27" i="5" s="1"/>
  <c r="BS19" i="5"/>
  <c r="BU19" i="5" s="1"/>
  <c r="BS17" i="5"/>
  <c r="BU17" i="5" s="1"/>
  <c r="BI19" i="5" s="1"/>
  <c r="BS15" i="5"/>
  <c r="BU15" i="5" s="1"/>
  <c r="BS13" i="5"/>
  <c r="BU13" i="5" s="1"/>
  <c r="Z19" i="5" l="1"/>
  <c r="BI27" i="5"/>
  <c r="R36" i="5"/>
  <c r="BH48" i="5"/>
  <c r="BH49" i="5"/>
  <c r="BH50" i="5"/>
  <c r="BH51" i="5"/>
  <c r="BH52" i="5"/>
  <c r="BH53" i="5"/>
  <c r="BH54" i="5"/>
  <c r="BH55" i="5"/>
  <c r="BH56" i="5"/>
  <c r="BA4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Q2" authorId="0" shapeId="0" xr:uid="{00000000-0006-0000-0000-000001000000}">
      <text>
        <r>
          <rPr>
            <b/>
            <sz val="6"/>
            <color indexed="81"/>
            <rFont val="MS P ゴシック"/>
            <family val="3"/>
            <charset val="128"/>
          </rPr>
          <t>日付の空欄をクリックし、選択または入力してください。</t>
        </r>
      </text>
    </comment>
  </commentList>
</comments>
</file>

<file path=xl/sharedStrings.xml><?xml version="1.0" encoding="utf-8"?>
<sst xmlns="http://schemas.openxmlformats.org/spreadsheetml/2006/main" count="213" uniqueCount="108">
  <si>
    <t>３　賃金規定等改定コース内訳</t>
    <rPh sb="2" eb="9">
      <t>チンギンキテイトウカイテイ</t>
    </rPh>
    <rPh sb="12" eb="14">
      <t>ウチワケ</t>
    </rPh>
    <phoneticPr fontId="1"/>
  </si>
  <si>
    <t>①　増額改定前の賃金規定等作成日</t>
    <rPh sb="2" eb="4">
      <t>ゾウガク</t>
    </rPh>
    <rPh sb="4" eb="7">
      <t>カイテイマエ</t>
    </rPh>
    <rPh sb="8" eb="10">
      <t>チンギン</t>
    </rPh>
    <rPh sb="10" eb="12">
      <t>キテイ</t>
    </rPh>
    <rPh sb="12" eb="13">
      <t>トウ</t>
    </rPh>
    <rPh sb="13" eb="16">
      <t>サクセイビ</t>
    </rPh>
    <phoneticPr fontId="1"/>
  </si>
  <si>
    <t>年</t>
    <rPh sb="0" eb="1">
      <t>ネン</t>
    </rPh>
    <phoneticPr fontId="1"/>
  </si>
  <si>
    <t>月</t>
    <phoneticPr fontId="1"/>
  </si>
  <si>
    <t>日</t>
    <rPh sb="0" eb="1">
      <t>ニチ</t>
    </rPh>
    <phoneticPr fontId="1"/>
  </si>
  <si>
    <t>②　賃金規定等増額改定日</t>
    <rPh sb="2" eb="7">
      <t>チンギンキテイトウ</t>
    </rPh>
    <rPh sb="7" eb="9">
      <t>ゾウガク</t>
    </rPh>
    <rPh sb="9" eb="12">
      <t>カイテイビ</t>
    </rPh>
    <phoneticPr fontId="1"/>
  </si>
  <si>
    <t>月</t>
    <rPh sb="0" eb="1">
      <t>ゲツ</t>
    </rPh>
    <phoneticPr fontId="1"/>
  </si>
  <si>
    <t>③　増額改定した賃金規定等は、雇用する有期雇用労働者等の全てまたは一部いずれに適用されるものか。</t>
    <rPh sb="2" eb="4">
      <t>ゾウガク</t>
    </rPh>
    <rPh sb="4" eb="6">
      <t>カイテイ</t>
    </rPh>
    <rPh sb="8" eb="10">
      <t>チンギン</t>
    </rPh>
    <rPh sb="10" eb="12">
      <t>キテイ</t>
    </rPh>
    <rPh sb="12" eb="13">
      <t>トウ</t>
    </rPh>
    <rPh sb="15" eb="17">
      <t>コヨウ</t>
    </rPh>
    <rPh sb="19" eb="21">
      <t>ユウキ</t>
    </rPh>
    <rPh sb="21" eb="23">
      <t>コヨウ</t>
    </rPh>
    <rPh sb="23" eb="26">
      <t>ロウドウシャ</t>
    </rPh>
    <rPh sb="26" eb="27">
      <t>トウ</t>
    </rPh>
    <rPh sb="28" eb="29">
      <t>スベ</t>
    </rPh>
    <rPh sb="33" eb="35">
      <t>イチブ</t>
    </rPh>
    <rPh sb="39" eb="41">
      <t>テキヨウ</t>
    </rPh>
    <phoneticPr fontId="1"/>
  </si>
  <si>
    <t>全て</t>
    <rPh sb="0" eb="1">
      <t>スベ</t>
    </rPh>
    <phoneticPr fontId="1"/>
  </si>
  <si>
    <t>一部</t>
    <rPh sb="0" eb="2">
      <t>イチブ</t>
    </rPh>
    <phoneticPr fontId="1"/>
  </si>
  <si>
    <t>④　増額改定した賃金規定等に属するすべての有期雇用労働者等に適用し、昇給させたかどうか</t>
    <rPh sb="2" eb="6">
      <t>ゾウガクカイテイ</t>
    </rPh>
    <rPh sb="8" eb="13">
      <t>チンギンキテイトウ</t>
    </rPh>
    <rPh sb="14" eb="15">
      <t>ゾク</t>
    </rPh>
    <rPh sb="21" eb="29">
      <t>ユウキコヨウロウドウシャナド</t>
    </rPh>
    <rPh sb="30" eb="32">
      <t>テキヨウ</t>
    </rPh>
    <rPh sb="34" eb="36">
      <t>ショウキュウ</t>
    </rPh>
    <phoneticPr fontId="1"/>
  </si>
  <si>
    <t xml:space="preserve">　させた </t>
    <phoneticPr fontId="1"/>
  </si>
  <si>
    <t xml:space="preserve">させてない </t>
    <phoneticPr fontId="1"/>
  </si>
  <si>
    <t>⑥　職務評価を経て増額改定を行ったか</t>
    <rPh sb="9" eb="11">
      <t>ゾウガク</t>
    </rPh>
    <rPh sb="11" eb="13">
      <t>カイテイ</t>
    </rPh>
    <phoneticPr fontId="1"/>
  </si>
  <si>
    <t>（職務評価を経て）</t>
  </si>
  <si>
    <t>　　（職務評価を経て行った場合、職務評価実施日）</t>
    <rPh sb="16" eb="18">
      <t>ショクム</t>
    </rPh>
    <rPh sb="18" eb="20">
      <t>ヒョウカ</t>
    </rPh>
    <rPh sb="20" eb="23">
      <t>ジッシビ</t>
    </rPh>
    <phoneticPr fontId="1"/>
  </si>
  <si>
    <t>行った</t>
    <rPh sb="0" eb="1">
      <t>オコナ</t>
    </rPh>
    <phoneticPr fontId="1"/>
  </si>
  <si>
    <t>行っていない</t>
    <rPh sb="0" eb="1">
      <t>オコナ</t>
    </rPh>
    <phoneticPr fontId="1"/>
  </si>
  <si>
    <t>過去に本助成金の職務評価加算を受給したことがあるか。</t>
    <rPh sb="0" eb="2">
      <t>カコ</t>
    </rPh>
    <phoneticPr fontId="1"/>
  </si>
  <si>
    <t>ある</t>
    <phoneticPr fontId="1"/>
  </si>
  <si>
    <t>ない</t>
    <phoneticPr fontId="1"/>
  </si>
  <si>
    <t>⑦　昇給制度を新たに設けたか</t>
    <rPh sb="2" eb="4">
      <t>ショウキュウ</t>
    </rPh>
    <rPh sb="4" eb="6">
      <t>セイド</t>
    </rPh>
    <rPh sb="7" eb="8">
      <t>アラ</t>
    </rPh>
    <rPh sb="10" eb="11">
      <t>モウ</t>
    </rPh>
    <phoneticPr fontId="1"/>
  </si>
  <si>
    <t>（昇給制度を新たに）</t>
    <rPh sb="1" eb="3">
      <t>ショウキュウ</t>
    </rPh>
    <rPh sb="3" eb="5">
      <t>セイド</t>
    </rPh>
    <rPh sb="6" eb="7">
      <t>アラ</t>
    </rPh>
    <phoneticPr fontId="1"/>
  </si>
  <si>
    <t>　　（昇給制度を新たに設けた場合、制度規定日）</t>
    <rPh sb="3" eb="5">
      <t>ショウキュウ</t>
    </rPh>
    <rPh sb="5" eb="7">
      <t>セイド</t>
    </rPh>
    <rPh sb="8" eb="9">
      <t>アラ</t>
    </rPh>
    <rPh sb="11" eb="12">
      <t>モウ</t>
    </rPh>
    <rPh sb="14" eb="16">
      <t>バアイ</t>
    </rPh>
    <rPh sb="17" eb="19">
      <t>セイド</t>
    </rPh>
    <rPh sb="19" eb="21">
      <t>キテイ</t>
    </rPh>
    <rPh sb="21" eb="22">
      <t>ヒ</t>
    </rPh>
    <phoneticPr fontId="1"/>
  </si>
  <si>
    <t>設けた</t>
    <rPh sb="0" eb="1">
      <t>モウ</t>
    </rPh>
    <phoneticPr fontId="1"/>
  </si>
  <si>
    <t>設けていない</t>
    <rPh sb="0" eb="1">
      <t>モウ</t>
    </rPh>
    <phoneticPr fontId="1"/>
  </si>
  <si>
    <t>過去に本助成金の昇給制度加算を受給したことがあるか。</t>
    <rPh sb="0" eb="2">
      <t>カコ</t>
    </rPh>
    <rPh sb="8" eb="10">
      <t>ショウキュウ</t>
    </rPh>
    <rPh sb="10" eb="12">
      <t>セイド</t>
    </rPh>
    <phoneticPr fontId="1"/>
  </si>
  <si>
    <t>⑧　支給申請額</t>
    <rPh sb="2" eb="4">
      <t>シキュウ</t>
    </rPh>
    <rPh sb="4" eb="7">
      <t>シンセイガク</t>
    </rPh>
    <phoneticPr fontId="1"/>
  </si>
  <si>
    <t>＜本体助成＞</t>
    <phoneticPr fontId="1"/>
  </si>
  <si>
    <t>3%以上～4%未満の場合</t>
    <rPh sb="2" eb="4">
      <t>イジョウ</t>
    </rPh>
    <rPh sb="7" eb="9">
      <t>ミマン</t>
    </rPh>
    <phoneticPr fontId="1"/>
  </si>
  <si>
    <t>支給単価</t>
    <phoneticPr fontId="1"/>
  </si>
  <si>
    <t>支給申請額（A)</t>
    <rPh sb="0" eb="2">
      <t>シキュウ</t>
    </rPh>
    <rPh sb="2" eb="5">
      <t>シンセイガク</t>
    </rPh>
    <phoneticPr fontId="1"/>
  </si>
  <si>
    <t>4%以上～5%未満の場合</t>
    <rPh sb="2" eb="4">
      <t>イジョウ</t>
    </rPh>
    <rPh sb="7" eb="9">
      <t>ミマン</t>
    </rPh>
    <phoneticPr fontId="1"/>
  </si>
  <si>
    <t>支給申請額（B)</t>
    <rPh sb="0" eb="2">
      <t>シキュウ</t>
    </rPh>
    <rPh sb="2" eb="5">
      <t>シンセイガク</t>
    </rPh>
    <phoneticPr fontId="1"/>
  </si>
  <si>
    <t>対象労働者数</t>
    <phoneticPr fontId="1"/>
  </si>
  <si>
    <t>中小企業</t>
    <phoneticPr fontId="1"/>
  </si>
  <si>
    <t>□</t>
  </si>
  <si>
    <t>✕</t>
    <phoneticPr fontId="1"/>
  </si>
  <si>
    <t xml:space="preserve"> 40,000円</t>
    <phoneticPr fontId="1"/>
  </si>
  <si>
    <t>＝</t>
    <phoneticPr fontId="1"/>
  </si>
  <si>
    <t xml:space="preserve"> 50,000円</t>
    <phoneticPr fontId="1"/>
  </si>
  <si>
    <t>人</t>
    <rPh sb="0" eb="1">
      <t>ニン</t>
    </rPh>
    <phoneticPr fontId="1"/>
  </si>
  <si>
    <t>大企業</t>
    <rPh sb="0" eb="1">
      <t>ダイ</t>
    </rPh>
    <phoneticPr fontId="1"/>
  </si>
  <si>
    <t>円</t>
  </si>
  <si>
    <t xml:space="preserve"> 26,000円</t>
    <phoneticPr fontId="1"/>
  </si>
  <si>
    <t xml:space="preserve"> 33,000円</t>
    <phoneticPr fontId="1"/>
  </si>
  <si>
    <t>5%以上～6%未満の場合</t>
    <rPh sb="2" eb="4">
      <t>イジョウ</t>
    </rPh>
    <rPh sb="7" eb="9">
      <t>ミマン</t>
    </rPh>
    <phoneticPr fontId="1"/>
  </si>
  <si>
    <t>支給申請額（C)</t>
    <rPh sb="0" eb="2">
      <t>シキュウ</t>
    </rPh>
    <rPh sb="2" eb="5">
      <t>シンセイガク</t>
    </rPh>
    <phoneticPr fontId="1"/>
  </si>
  <si>
    <t>6%以上</t>
    <rPh sb="2" eb="4">
      <t>イジョウ</t>
    </rPh>
    <phoneticPr fontId="1"/>
  </si>
  <si>
    <t>支給申請額（D)</t>
    <rPh sb="0" eb="2">
      <t>シキュウ</t>
    </rPh>
    <rPh sb="2" eb="5">
      <t>シンセイガク</t>
    </rPh>
    <phoneticPr fontId="1"/>
  </si>
  <si>
    <t xml:space="preserve"> 65,000円</t>
    <phoneticPr fontId="1"/>
  </si>
  <si>
    <t xml:space="preserve"> 70,000円</t>
    <phoneticPr fontId="1"/>
  </si>
  <si>
    <t xml:space="preserve"> 43,000円</t>
    <phoneticPr fontId="1"/>
  </si>
  <si>
    <t xml:space="preserve"> 46,000円</t>
    <phoneticPr fontId="1"/>
  </si>
  <si>
    <t>＜職務評価を経た場合の加算額＞※１事業所１回限り</t>
    <phoneticPr fontId="1"/>
  </si>
  <si>
    <t>＜昇給制度を新たに設けた場合の加算額＞※１事業所１回限り</t>
    <rPh sb="1" eb="3">
      <t>ショウキュウ</t>
    </rPh>
    <rPh sb="3" eb="5">
      <t>セイド</t>
    </rPh>
    <rPh sb="6" eb="7">
      <t>アラ</t>
    </rPh>
    <rPh sb="9" eb="10">
      <t>モウ</t>
    </rPh>
    <phoneticPr fontId="1"/>
  </si>
  <si>
    <t>支給単価</t>
    <rPh sb="0" eb="2">
      <t>シキュウ</t>
    </rPh>
    <rPh sb="2" eb="4">
      <t>タンカ</t>
    </rPh>
    <phoneticPr fontId="1"/>
  </si>
  <si>
    <t>支給申請額（E)</t>
    <phoneticPr fontId="1"/>
  </si>
  <si>
    <t>支給申請額（F)</t>
    <phoneticPr fontId="1"/>
  </si>
  <si>
    <t xml:space="preserve"> 200,000円</t>
    <phoneticPr fontId="1"/>
  </si>
  <si>
    <t xml:space="preserve"> 150,000円</t>
    <phoneticPr fontId="1"/>
  </si>
  <si>
    <t>円</t>
    <phoneticPr fontId="1"/>
  </si>
  <si>
    <t>円</t>
    <rPh sb="0" eb="1">
      <t>エン</t>
    </rPh>
    <phoneticPr fontId="1"/>
  </si>
  <si>
    <t xml:space="preserve">※原則は全ての有期雇用労働者等の基本給を３％以上増額改定する必要があります。
　労働者ごとに異なる改定率とするなど、一部の労働者に限定する場合、合理的な区分による必要が　
　あります。
</t>
    <rPh sb="1" eb="3">
      <t>ゲンソク</t>
    </rPh>
    <rPh sb="4" eb="5">
      <t>スベ</t>
    </rPh>
    <rPh sb="7" eb="15">
      <t>ユウキコヨウロウドウシャトウ</t>
    </rPh>
    <rPh sb="16" eb="19">
      <t>キホンキュウ</t>
    </rPh>
    <rPh sb="22" eb="24">
      <t>イジョウ</t>
    </rPh>
    <rPh sb="24" eb="26">
      <t>ゾウガク</t>
    </rPh>
    <rPh sb="26" eb="28">
      <t>カイテイ</t>
    </rPh>
    <rPh sb="30" eb="32">
      <t>ヒツヨウ</t>
    </rPh>
    <rPh sb="40" eb="43">
      <t>ロウドウシャ</t>
    </rPh>
    <rPh sb="46" eb="47">
      <t>コト</t>
    </rPh>
    <rPh sb="49" eb="52">
      <t>カイテイリツ</t>
    </rPh>
    <rPh sb="58" eb="60">
      <t>イチブ</t>
    </rPh>
    <rPh sb="61" eb="64">
      <t>ロウドウシャ</t>
    </rPh>
    <rPh sb="65" eb="67">
      <t>ゲンテイ</t>
    </rPh>
    <rPh sb="69" eb="71">
      <t>バアイ</t>
    </rPh>
    <rPh sb="72" eb="75">
      <t>ゴウリテキ</t>
    </rPh>
    <rPh sb="76" eb="78">
      <t>クブン</t>
    </rPh>
    <rPh sb="81" eb="83">
      <t>ヒツヨウ</t>
    </rPh>
    <phoneticPr fontId="1"/>
  </si>
  <si>
    <t>⑨　対象労働者</t>
    <phoneticPr fontId="1"/>
  </si>
  <si>
    <t>番号</t>
    <rPh sb="0" eb="2">
      <t>バンゴウ</t>
    </rPh>
    <phoneticPr fontId="1"/>
  </si>
  <si>
    <t>氏名</t>
    <rPh sb="0" eb="2">
      <t>シメイ</t>
    </rPh>
    <phoneticPr fontId="1"/>
  </si>
  <si>
    <t>雇用保険被保険者番号</t>
    <rPh sb="0" eb="2">
      <t>コヨウ</t>
    </rPh>
    <rPh sb="2" eb="4">
      <t>ホケン</t>
    </rPh>
    <rPh sb="4" eb="8">
      <t>ヒホケンシャ</t>
    </rPh>
    <rPh sb="8" eb="10">
      <t>バンゴウ</t>
    </rPh>
    <phoneticPr fontId="1"/>
  </si>
  <si>
    <t>増額改定前基本給</t>
    <rPh sb="0" eb="2">
      <t>ゾウガク</t>
    </rPh>
    <rPh sb="2" eb="5">
      <t>カイテイマエ</t>
    </rPh>
    <rPh sb="5" eb="8">
      <t>キホンキュウ</t>
    </rPh>
    <phoneticPr fontId="1"/>
  </si>
  <si>
    <t>増額改定後基本給</t>
    <rPh sb="0" eb="2">
      <t>ゾウガク</t>
    </rPh>
    <rPh sb="2" eb="4">
      <t>カイテイ</t>
    </rPh>
    <rPh sb="4" eb="5">
      <t>ゴ</t>
    </rPh>
    <rPh sb="5" eb="8">
      <t>キホンキュウ</t>
    </rPh>
    <phoneticPr fontId="1"/>
  </si>
  <si>
    <t>昇給率</t>
    <rPh sb="0" eb="3">
      <t>ショウキュウリツ</t>
    </rPh>
    <phoneticPr fontId="1"/>
  </si>
  <si>
    <t>3親等以内親族</t>
    <rPh sb="1" eb="3">
      <t>シントウ</t>
    </rPh>
    <rPh sb="3" eb="5">
      <t>イナイ</t>
    </rPh>
    <rPh sb="5" eb="7">
      <t>シンゾク</t>
    </rPh>
    <phoneticPr fontId="1"/>
  </si>
  <si>
    <t>-</t>
  </si>
  <si>
    <t>％</t>
    <phoneticPr fontId="1"/>
  </si>
  <si>
    <t>-</t>
    <phoneticPr fontId="1"/>
  </si>
  <si>
    <t>支給申請期間</t>
    <rPh sb="0" eb="6">
      <t>シキュウシンセイキカン</t>
    </rPh>
    <phoneticPr fontId="1"/>
  </si>
  <si>
    <t>　賃金規定等の増額改定を行った場合、対象労働者に対する賃金規定等の増額改定後６か月分の賃金（賃金規定等の改定日が賃金締切日の翌日でない場合は、賃金規定等の改定日以降の最初の賃金締切日後６か月分。いずれも勤務をした日数が11日未満の月は除きます。）を支給した日（※）の翌日から起算して２か月以内に申請してください。
（※）就業規則等の規定により、時間外手当を実績に応じ基本給等とは別に翌月等に支給している場合、６か月分の時間外手当が支給される日を、賃金を支給した日とする（時間外勤務の実績がなく、結果として支給がない場合を含みます。）。</t>
    <phoneticPr fontId="1"/>
  </si>
  <si>
    <t>記入上の注意</t>
    <rPh sb="0" eb="3">
      <t>キニュウジョウ</t>
    </rPh>
    <rPh sb="4" eb="6">
      <t>チュウイ</t>
    </rPh>
    <phoneticPr fontId="1"/>
  </si>
  <si>
    <t>添付書類</t>
    <rPh sb="0" eb="2">
      <t>テンプ</t>
    </rPh>
    <rPh sb="2" eb="4">
      <t>ショルイ</t>
    </rPh>
    <phoneticPr fontId="1"/>
  </si>
  <si>
    <t>２　中小企業事業主である場合　　
    企業全体の常時使用する労働者の数により中小企業事業主に該当する場合
　　事業所確認表（様式第４号）
　　なお、中小企業の範囲は下表のとおりです。</t>
    <phoneticPr fontId="1"/>
  </si>
  <si>
    <t>小売業（飲食店を含む）</t>
    <rPh sb="0" eb="3">
      <t>コウリギョウ</t>
    </rPh>
    <rPh sb="4" eb="7">
      <t>インショクテン</t>
    </rPh>
    <rPh sb="8" eb="9">
      <t>フク</t>
    </rPh>
    <phoneticPr fontId="1"/>
  </si>
  <si>
    <t>資本額または出資額が5,000万円以下、または常時雇用する労働者の数が50人以下</t>
    <rPh sb="0" eb="3">
      <t>シホンガク</t>
    </rPh>
    <rPh sb="6" eb="9">
      <t>シュッシガク</t>
    </rPh>
    <rPh sb="11" eb="19">
      <t>000マンエンイカ</t>
    </rPh>
    <rPh sb="23" eb="27">
      <t>ジョウジコヨウ</t>
    </rPh>
    <rPh sb="29" eb="32">
      <t>ロウドウシャ</t>
    </rPh>
    <rPh sb="33" eb="34">
      <t>カズ</t>
    </rPh>
    <rPh sb="37" eb="40">
      <t>ニンイカ</t>
    </rPh>
    <phoneticPr fontId="1"/>
  </si>
  <si>
    <t>サービス業</t>
    <rPh sb="4" eb="5">
      <t>ギョウ</t>
    </rPh>
    <phoneticPr fontId="1"/>
  </si>
  <si>
    <t xml:space="preserve"> 〃 　 　 5,000万円以下、または　　　〃　　　１００人以下</t>
    <rPh sb="8" eb="16">
      <t>000マンエンイカ</t>
    </rPh>
    <rPh sb="30" eb="33">
      <t>ニンイカ</t>
    </rPh>
    <phoneticPr fontId="1"/>
  </si>
  <si>
    <t>卸売業</t>
    <rPh sb="0" eb="3">
      <t>オロシウリギョウ</t>
    </rPh>
    <phoneticPr fontId="1"/>
  </si>
  <si>
    <t xml:space="preserve"> 〃　　　　　１億円以下、または　　　〃　　　１００人以下</t>
    <rPh sb="8" eb="9">
      <t>オク</t>
    </rPh>
    <rPh sb="9" eb="10">
      <t>エン</t>
    </rPh>
    <rPh sb="10" eb="12">
      <t>イカ</t>
    </rPh>
    <rPh sb="26" eb="29">
      <t>ニンイカ</t>
    </rPh>
    <phoneticPr fontId="1"/>
  </si>
  <si>
    <t>その他</t>
    <rPh sb="2" eb="3">
      <t>タ</t>
    </rPh>
    <phoneticPr fontId="1"/>
  </si>
  <si>
    <t>〃　　　　　３億円以下、または　　　〃　　　３００人以下</t>
    <rPh sb="7" eb="9">
      <t>オクエン</t>
    </rPh>
    <rPh sb="9" eb="11">
      <t>イカ</t>
    </rPh>
    <rPh sb="25" eb="28">
      <t>ニンイカ</t>
    </rPh>
    <phoneticPr fontId="1"/>
  </si>
  <si>
    <t>３　賃金規定等改定が職務評価を経て行われた場合
　イ　職務評価を実施したことが分かる書類
　（イ）要素別点数法により職務評価を実施した場合　　　　　　　　　　　　　　　　　　　　　　　　　　　　　　　　　　　　　　　　　　　　　　　　　　　　　　　　　　　　　　　　　　　　　　　　　　　　　　　　　　　　　　　　　　　　　　　　　　　　　　　　　　　　　　　　　　　　　　　　　　　　　　　　　　　　　　　　　　　　　　　　　　　　　　　　　　　　　　　　　　　　　　　　　　　　　　　　　　　　　　　　　　　　　　　　　　　　　
　　　a 要素別点数法による職務評価の結果が確認できる書類
　　　（例）職務（役割）評価表、対象労働者の評価結果を記載した一覧表等
　（ロ）単純比較法により職務評価を実施した場合
　　　a 職務説明書（職務記述書）
　　　b 単純比較法による職務評価の結果が確認できる書類
　　　（例）全体評価の定義書、職務比較表、対象労働者の評価結果を記載した一覧表等</t>
    <phoneticPr fontId="1"/>
  </si>
  <si>
    <t>　（ハ）要素比較法により職務評価を実施した場合
　　　 a 要素比較法による職務評価の結果が確認できる書類
　　　（例）評価項目ごとの職務レベル定義書、対象労働者の評価結果を記載した一覧表等
　（ニ）分類法により職務評価を実施した場合
　　　a 職務説明書（職務記述書）
　　　b 分類法による職務評価の結果が確認できる書類
　　　（例）職務レベル定義書、対象労働者の評価結果を記載した一覧表等</t>
    <phoneticPr fontId="1"/>
  </si>
  <si>
    <t>　ロ　職務評価結果を踏まえ賃金規定等を増額改定したことが分かる書類
　　（例）職務評価の結果と改定後の賃金規定等の等級（ランク）との対応関係が分かる資料等</t>
    <phoneticPr fontId="1"/>
  </si>
  <si>
    <t>申請に当たっての留意点</t>
    <phoneticPr fontId="1"/>
  </si>
  <si>
    <t>　イ　職務評価を経た場合及び昇給制度を新たに規定した場合の加算につきましては、１事業所当たりそれぞれ１回限りとなりますのでご留意ください。
　ロ　助成金の受給に当たっては各種要件がありますので、パンフレットをご覧いただき、不明な点は本支給申請前に労働局にお問い合わせください。</t>
    <rPh sb="8" eb="9">
      <t>ヘ</t>
    </rPh>
    <rPh sb="10" eb="12">
      <t>バアイ</t>
    </rPh>
    <rPh sb="29" eb="31">
      <t>カサン</t>
    </rPh>
    <phoneticPr fontId="1"/>
  </si>
  <si>
    <t>４　昇給制度を新たに規定した場合
　イ　雇用する全て又は一部の有期雇用労働者等に係る昇給制度が規定されている就業規則等（賃金規定等が規定されている就業規則等や増額改定前後の賃金規定等で確認できない場合）</t>
    <rPh sb="2" eb="4">
      <t>ショウキュウ</t>
    </rPh>
    <rPh sb="4" eb="6">
      <t>セイド</t>
    </rPh>
    <rPh sb="7" eb="8">
      <t>アラ</t>
    </rPh>
    <rPh sb="10" eb="12">
      <t>キテイ</t>
    </rPh>
    <rPh sb="14" eb="16">
      <t>バアイ</t>
    </rPh>
    <rPh sb="20" eb="22">
      <t>コヨウ</t>
    </rPh>
    <rPh sb="24" eb="25">
      <t>スベ</t>
    </rPh>
    <rPh sb="26" eb="27">
      <t>マタ</t>
    </rPh>
    <rPh sb="28" eb="30">
      <t>イチブ</t>
    </rPh>
    <rPh sb="31" eb="39">
      <t>ユウキコヨウロウドウシャトウ</t>
    </rPh>
    <rPh sb="40" eb="41">
      <t>カカ</t>
    </rPh>
    <rPh sb="42" eb="44">
      <t>ショウキュウ</t>
    </rPh>
    <rPh sb="44" eb="46">
      <t>セイド</t>
    </rPh>
    <rPh sb="47" eb="49">
      <t>キテイ</t>
    </rPh>
    <rPh sb="54" eb="56">
      <t>シュウギョウ</t>
    </rPh>
    <rPh sb="56" eb="58">
      <t>キソク</t>
    </rPh>
    <rPh sb="58" eb="59">
      <t>ナド</t>
    </rPh>
    <rPh sb="77" eb="78">
      <t>ナド</t>
    </rPh>
    <phoneticPr fontId="1"/>
  </si>
  <si>
    <t>支給申請額合計 (A)＋(B)+(C)+(D)+(E)＋(F)=</t>
    <rPh sb="0" eb="2">
      <t>シキュウ</t>
    </rPh>
    <rPh sb="2" eb="5">
      <t>シンセイガク</t>
    </rPh>
    <rPh sb="5" eb="7">
      <t>ゴウケイ</t>
    </rPh>
    <phoneticPr fontId="1"/>
  </si>
  <si>
    <t xml:space="preserve"> ⑤　対象労働者が、賃金規定等の増額改定を行った事業所の事業主または取締役の３親等以内の親族に含まれるか。</t>
    <phoneticPr fontId="1"/>
  </si>
  <si>
    <t xml:space="preserve"> 特定の雇用区分</t>
    <phoneticPr fontId="1"/>
  </si>
  <si>
    <t>□</t>
    <phoneticPr fontId="1"/>
  </si>
  <si>
    <t>）</t>
    <phoneticPr fontId="1"/>
  </si>
  <si>
    <t xml:space="preserve">
含まれない</t>
    <rPh sb="1" eb="2">
      <t>フク</t>
    </rPh>
    <phoneticPr fontId="1"/>
  </si>
  <si>
    <t xml:space="preserve">含まれる
</t>
    <rPh sb="0" eb="1">
      <t>フク</t>
    </rPh>
    <phoneticPr fontId="1"/>
  </si>
  <si>
    <t>特定の職種・業務レベル</t>
    <rPh sb="0" eb="2">
      <t>トクテイ</t>
    </rPh>
    <rPh sb="3" eb="5">
      <t>ショクシュ</t>
    </rPh>
    <rPh sb="6" eb="8">
      <t>ギョウム</t>
    </rPh>
    <phoneticPr fontId="1"/>
  </si>
  <si>
    <t>　賃金規定等改定の支給申請を行う場合は、支給申請書（様式第３号）および本様式（別添様式３）に、次の書類（原本または写し）を添付してください。
１　共通
　イ　支給要件確認申立書
　ロ　支払方法・受取人住所届
　ハ　管轄労働局に受理されたキャリアアップ計画書
　ニ　賃金規定等が規定されている労働協約または就業規則
　ホ　増額改定前および増額改定後の賃金規定等（新たに賃金規定等を整備する場合は、増額改定前の賃金規定等は除きます。）
　ヘ　対象労働者の賃金規定等の増額改定前および増額改定後の雇用契約書または労働条件通知書等（船員法第32条の規定により船員に対して明示しなければならない
　　　書面を含みます。）
　ト　対象労働者の賃金台帳または船員法第58条の２に定める報酬支払簿（賃金規定等の増額改定前の３か月分および増額改定後の６か月分（賃金規定等の増額改定後
　　　の賃金の算定となる初日の前日から３か月前の日までの賃金および賃金規定等の増額改定後の賃金の算定となる初日から６か月経過する日までの賃金に係る分））
　チ　トの賃金台帳又は報酬支払い簿において、出勤日数及び労働時間数が確認できない場合、対象労働者の出勤簿、タイムカードまたは船員法第67条に定める記録簿等出勤状況が確認できる書類
　　　（対象労働者について、賃金規定等の増額改定後の賃金の算定となる初日の前日から過去３か月分および賃金規定等の増額改定後の賃金の算定となる初日から６か月分）
　リ　賃金規定等を増額改定した日の前日から起算して３か月前の日から支給申請日までの間に、合理的な理由なく基本給及び定額で支給されている諸手当を減額
　　　されていないこと及び賃金規定等を増額改定後６か月（勤務をした日数が11日未満の月は除く）分の賃金（時間外手当等を含む）が支給されていることについて
　　　の対象労働者本人の確認書</t>
    <rPh sb="114" eb="116">
      <t>ジュリ</t>
    </rPh>
    <phoneticPr fontId="1"/>
  </si>
  <si>
    <t xml:space="preserve"> （③で「一部」とした場合のみ）どのように区分したか。</t>
    <phoneticPr fontId="1"/>
  </si>
  <si>
    <t>最低賃金額未満</t>
    <rPh sb="5" eb="7">
      <t>ミマン</t>
    </rPh>
    <phoneticPr fontId="1"/>
  </si>
  <si>
    <t>その他（詳細を下の（　）内に記入）</t>
    <rPh sb="2" eb="3">
      <t>タ</t>
    </rPh>
    <rPh sb="4" eb="6">
      <t>ショウサイ</t>
    </rPh>
    <rPh sb="7" eb="8">
      <t>シタ</t>
    </rPh>
    <rPh sb="12" eb="13">
      <t>ナイ</t>
    </rPh>
    <rPh sb="14" eb="16">
      <t>キニュウ</t>
    </rPh>
    <phoneticPr fontId="1"/>
  </si>
  <si>
    <t>（</t>
    <phoneticPr fontId="1"/>
  </si>
  <si>
    <t>　この様式は、次の点に注意して記入してください。
１　①欄は賃金規定等の増額改定を行う前の賃金規定等を作成した日（新たに賃金規定等を整備する場合は、整備した日）を記入してください。
２　②欄は賃金規定等の増額改定を行った日（新たに賃金規定等を整備する場合は、整備した日）を記入してください。
３　③欄は賃金規定等の内容について記入してください。
４　③欄で「一部」とした場合、以下のとおりチェックしてください。
　　特定の雇用区分（契約社員、パート、アルバイト等の一部）に適用される賃金規定等のみ増額改定した場合は「特定の雇用区分」
　　職種ごと又は業務レベルごとの区分（初級・中級・上級等）が存在し、そのうち一部の区分に適用される賃金規定等のみを増額改定した場合は「特定の職種・業務レベル」
　　最低賃金の改定に伴い、新最低賃金を下回ることとなる等級についてのみ賃金規定等を増額した場合は「最低賃金額未満」
　　それ以外の区分の場合は「その他」にチェックし、その詳細を記入してください。　
５　⑧欄は、支給申請額およびそれに関係する事項等について記入してください。
６　⑨欄について、「昇給率」は小数第１位（小数第２位以下切捨て）まで記入し、「３親等以内親族」（民法（明治29年法第89号）第725条第1号に規定する血族のうち３親等以
　　内の者、同条2号に規定する配偶者及び同条3号に規定する姻族をいう。）に該当する労働者に「○」を記入してください。用紙が不足する場合は、様式第３号（別添様式３）
　　（継紙）に記載し、本紙に添付してください。</t>
    <rPh sb="176" eb="177">
      <t>ラン</t>
    </rPh>
    <rPh sb="179" eb="181">
      <t>イチブ</t>
    </rPh>
    <rPh sb="185" eb="187">
      <t>バアイ</t>
    </rPh>
    <rPh sb="188" eb="190">
      <t>イカ</t>
    </rPh>
    <rPh sb="208" eb="210">
      <t>トクテイ</t>
    </rPh>
    <rPh sb="211" eb="213">
      <t>コヨウ</t>
    </rPh>
    <rPh sb="213" eb="215">
      <t>クブン</t>
    </rPh>
    <rPh sb="216" eb="218">
      <t>ケイヤク</t>
    </rPh>
    <rPh sb="218" eb="220">
      <t>シャイン</t>
    </rPh>
    <rPh sb="232" eb="234">
      <t>イチブ</t>
    </rPh>
    <rPh sb="258" eb="260">
      <t>トクテイ</t>
    </rPh>
    <rPh sb="308" eb="310">
      <t>クブン</t>
    </rPh>
    <rPh sb="311" eb="313">
      <t>テキヨウ</t>
    </rPh>
    <rPh sb="401" eb="403">
      <t>ミマン</t>
    </rPh>
    <rPh sb="409" eb="411">
      <t>イガイ</t>
    </rPh>
    <rPh sb="412" eb="414">
      <t>クブン</t>
    </rPh>
    <rPh sb="415" eb="417">
      <t>バアイ</t>
    </rPh>
    <rPh sb="421" eb="422">
      <t>タ</t>
    </rPh>
    <rPh sb="432" eb="434">
      <t>ショウサイ</t>
    </rPh>
    <rPh sb="435" eb="437">
      <t>キニュウ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</si>
</sst>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9">
    <font>
      <sz val="11"/>
      <color theme="1"/>
      <name val="游ゴシック"/>
      <family val="2"/>
      <charset val="128"/>
      <scheme val="minor"/>
    </font>
    <font>
      <sz val="6"/>
      <name val="游ゴシック"/>
      <family val="2"/>
      <charset val="128"/>
      <scheme val="minor"/>
    </font>
    <font>
      <sz val="8"/>
      <color theme="1"/>
      <name val="游ゴシック"/>
      <family val="2"/>
      <charset val="128"/>
      <scheme val="minor"/>
    </font>
    <font>
      <sz val="7"/>
      <color theme="1"/>
      <name val="ＭＳ ゴシック"/>
      <family val="3"/>
      <charset val="128"/>
    </font>
    <font>
      <sz val="11"/>
      <color theme="1"/>
      <name val="ＭＳ ゴシック"/>
      <family val="3"/>
      <charset val="128"/>
    </font>
    <font>
      <sz val="6"/>
      <color theme="1"/>
      <name val="游ゴシック"/>
      <family val="2"/>
      <charset val="128"/>
      <scheme val="minor"/>
    </font>
    <font>
      <sz val="6"/>
      <color theme="1"/>
      <name val="ＭＳ ゴシック"/>
      <family val="3"/>
      <charset val="128"/>
    </font>
    <font>
      <sz val="8"/>
      <color theme="1"/>
      <name val="ＭＳ ゴシック"/>
      <family val="3"/>
      <charset val="128"/>
    </font>
    <font>
      <b/>
      <sz val="11"/>
      <color theme="1"/>
      <name val="ＭＳ ゴシック"/>
      <family val="3"/>
      <charset val="128"/>
    </font>
    <font>
      <sz val="9"/>
      <color theme="1"/>
      <name val="ＭＳ ゴシック"/>
      <family val="3"/>
      <charset val="128"/>
    </font>
    <font>
      <b/>
      <sz val="7"/>
      <color theme="1"/>
      <name val="ＭＳ ゴシック"/>
      <family val="3"/>
      <charset val="128"/>
    </font>
    <font>
      <b/>
      <sz val="8"/>
      <color theme="1"/>
      <name val="ＭＳ ゴシック"/>
      <family val="3"/>
      <charset val="128"/>
    </font>
    <font>
      <sz val="5"/>
      <color theme="1"/>
      <name val="ＭＳ ゴシック"/>
      <family val="3"/>
      <charset val="128"/>
    </font>
    <font>
      <b/>
      <sz val="10"/>
      <color theme="1"/>
      <name val="ＭＳ ゴシック"/>
      <family val="3"/>
      <charset val="128"/>
    </font>
    <font>
      <sz val="6.5"/>
      <color theme="1"/>
      <name val="ＭＳ ゴシック"/>
      <family val="3"/>
      <charset val="128"/>
    </font>
    <font>
      <b/>
      <i/>
      <sz val="7"/>
      <color theme="1"/>
      <name val="ＭＳ ゴシック"/>
      <family val="3"/>
      <charset val="128"/>
    </font>
    <font>
      <b/>
      <u/>
      <sz val="11"/>
      <color theme="1"/>
      <name val="游ゴシック"/>
      <family val="2"/>
      <charset val="128"/>
      <scheme val="minor"/>
    </font>
    <font>
      <b/>
      <u/>
      <sz val="7"/>
      <color theme="1"/>
      <name val="ＭＳ ゴシック"/>
      <family val="3"/>
      <charset val="128"/>
    </font>
    <font>
      <b/>
      <sz val="13"/>
      <color theme="1"/>
      <name val="ＭＳ ゴシック"/>
      <family val="3"/>
      <charset val="128"/>
    </font>
    <font>
      <sz val="11"/>
      <color theme="1"/>
      <name val="游ゴシック"/>
      <family val="2"/>
      <charset val="128"/>
      <scheme val="minor"/>
    </font>
    <font>
      <b/>
      <sz val="6"/>
      <color indexed="81"/>
      <name val="MS P ゴシック"/>
      <family val="3"/>
      <charset val="128"/>
    </font>
    <font>
      <sz val="6"/>
      <color theme="1"/>
      <name val="游ゴシック"/>
      <family val="3"/>
      <charset val="128"/>
      <scheme val="minor"/>
    </font>
    <font>
      <sz val="7"/>
      <color theme="1"/>
      <name val="游ゴシック"/>
      <family val="2"/>
      <charset val="128"/>
      <scheme val="minor"/>
    </font>
    <font>
      <b/>
      <sz val="10"/>
      <color theme="1"/>
      <name val="游ゴシック"/>
      <family val="3"/>
      <charset val="128"/>
      <scheme val="minor"/>
    </font>
    <font>
      <b/>
      <sz val="9"/>
      <color theme="1"/>
      <name val="ＭＳ ゴシック"/>
      <family val="3"/>
      <charset val="128"/>
    </font>
    <font>
      <sz val="8"/>
      <color rgb="FFFF0000"/>
      <name val="ＭＳ ゴシック"/>
      <family val="3"/>
      <charset val="128"/>
    </font>
    <font>
      <sz val="11"/>
      <name val="ＭＳ Ｐゴシック"/>
      <family val="3"/>
      <charset val="128"/>
    </font>
    <font>
      <sz val="6"/>
      <color rgb="FFFF0000"/>
      <name val="ＭＳ ゴシック"/>
      <family val="3"/>
      <charset val="128"/>
    </font>
    <font>
      <sz val="7"/>
      <name val="ＭＳ ゴシック"/>
      <family val="3"/>
      <charset val="128"/>
    </font>
    <font>
      <strike/>
      <sz val="9"/>
      <color rgb="FFFF0000"/>
      <name val="ＭＳ ゴシック"/>
      <family val="3"/>
      <charset val="128"/>
    </font>
    <font>
      <sz val="10"/>
      <color theme="1"/>
      <name val="ＭＳ ゴシック"/>
      <family val="3"/>
      <charset val="128"/>
    </font>
    <font>
      <sz val="12"/>
      <color theme="1"/>
      <name val="ＭＳ ゴシック"/>
      <family val="3"/>
      <charset val="128"/>
    </font>
    <font>
      <sz val="6"/>
      <name val="ＭＳ ゴシック"/>
      <family val="3"/>
      <charset val="128"/>
    </font>
    <font>
      <sz val="11"/>
      <color rgb="FFFF0000"/>
      <name val="游ゴシック"/>
      <family val="2"/>
      <charset val="128"/>
      <scheme val="minor"/>
    </font>
    <font>
      <sz val="7"/>
      <color rgb="FFFF0000"/>
      <name val="ＭＳ ゴシック"/>
      <family val="3"/>
      <charset val="128"/>
    </font>
    <font>
      <sz val="11"/>
      <color rgb="FFFF0000"/>
      <name val="ＭＳ ゴシック"/>
      <family val="3"/>
      <charset val="128"/>
    </font>
    <font>
      <b/>
      <sz val="10"/>
      <name val="ＭＳ ゴシック"/>
      <family val="3"/>
      <charset val="128"/>
    </font>
    <font>
      <sz val="11"/>
      <name val="ＭＳ ゴシック"/>
      <family val="3"/>
      <charset val="128"/>
    </font>
    <font>
      <b/>
      <sz val="14"/>
      <name val="ＭＳ ゴシック"/>
      <family val="3"/>
      <charset val="128"/>
    </font>
  </fonts>
  <fills count="4">
    <fill>
      <patternFill patternType="none"/>
    </fill>
    <fill>
      <patternFill patternType="gray125"/>
    </fill>
    <fill>
      <patternFill patternType="solid">
        <fgColor theme="0"/>
        <bgColor indexed="64"/>
      </patternFill>
    </fill>
    <fill>
      <patternFill patternType="solid">
        <fgColor rgb="FFDDD9C3"/>
        <bgColor indexed="64"/>
      </patternFill>
    </fill>
  </fills>
  <borders count="3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double">
        <color auto="1"/>
      </right>
      <top style="thin">
        <color auto="1"/>
      </top>
      <bottom style="thin">
        <color auto="1"/>
      </bottom>
      <diagonal/>
    </border>
    <border>
      <left/>
      <right style="double">
        <color auto="1"/>
      </right>
      <top style="thin">
        <color auto="1"/>
      </top>
      <bottom style="thin">
        <color auto="1"/>
      </bottom>
      <diagonal/>
    </border>
  </borders>
  <cellStyleXfs count="3">
    <xf numFmtId="0" fontId="0" fillId="0" borderId="0">
      <alignment vertical="center"/>
    </xf>
    <xf numFmtId="38" fontId="19" fillId="0" borderId="0" applyFont="0" applyFill="0" applyBorder="0" applyAlignment="0" applyProtection="0">
      <alignment vertical="center"/>
    </xf>
    <xf numFmtId="0" fontId="26" fillId="0" borderId="0"/>
  </cellStyleXfs>
  <cellXfs count="273">
    <xf numFmtId="0" fontId="0" fillId="0" borderId="0" xfId="0">
      <alignment vertical="center"/>
    </xf>
    <xf numFmtId="0" fontId="4" fillId="0" borderId="0" xfId="0" applyFont="1">
      <alignment vertical="center"/>
    </xf>
    <xf numFmtId="0" fontId="0" fillId="0" borderId="0" xfId="0" applyAlignment="1">
      <alignment horizontal="left" vertical="center"/>
    </xf>
    <xf numFmtId="0" fontId="0" fillId="0" borderId="0" xfId="0" applyAlignment="1">
      <alignment vertical="center" wrapText="1"/>
    </xf>
    <xf numFmtId="0" fontId="4" fillId="2" borderId="0" xfId="0" applyFont="1" applyFill="1">
      <alignment vertical="center"/>
    </xf>
    <xf numFmtId="0" fontId="3" fillId="2" borderId="0" xfId="0" applyFont="1" applyFill="1">
      <alignment vertical="center"/>
    </xf>
    <xf numFmtId="0" fontId="6" fillId="2" borderId="0" xfId="0" applyFont="1" applyFill="1">
      <alignment vertical="center"/>
    </xf>
    <xf numFmtId="0" fontId="6" fillId="0" borderId="0" xfId="0" applyFont="1">
      <alignment vertical="center"/>
    </xf>
    <xf numFmtId="0" fontId="3" fillId="3" borderId="1" xfId="0" applyFont="1" applyFill="1" applyBorder="1">
      <alignment vertical="center"/>
    </xf>
    <xf numFmtId="0" fontId="3" fillId="3" borderId="7" xfId="0" applyFont="1" applyFill="1" applyBorder="1">
      <alignment vertical="center"/>
    </xf>
    <xf numFmtId="0" fontId="7" fillId="2" borderId="0" xfId="0" applyFont="1" applyFill="1">
      <alignment vertical="center"/>
    </xf>
    <xf numFmtId="0" fontId="9" fillId="2" borderId="0" xfId="0" applyFont="1" applyFill="1">
      <alignment vertical="center"/>
    </xf>
    <xf numFmtId="0" fontId="12" fillId="2" borderId="0" xfId="0" applyFont="1" applyFill="1">
      <alignment vertical="center"/>
    </xf>
    <xf numFmtId="0" fontId="5" fillId="0" borderId="0" xfId="0" applyFont="1">
      <alignment vertical="center"/>
    </xf>
    <xf numFmtId="0" fontId="4" fillId="3" borderId="4" xfId="0" applyFont="1" applyFill="1" applyBorder="1" applyAlignment="1">
      <alignment vertical="center" wrapText="1"/>
    </xf>
    <xf numFmtId="0" fontId="2" fillId="0" borderId="0" xfId="0" applyFont="1">
      <alignment vertical="center"/>
    </xf>
    <xf numFmtId="0" fontId="16" fillId="0" borderId="0" xfId="0" applyFont="1">
      <alignment vertical="center"/>
    </xf>
    <xf numFmtId="0" fontId="6" fillId="2" borderId="1" xfId="0" applyFont="1" applyFill="1" applyBorder="1">
      <alignment vertical="center"/>
    </xf>
    <xf numFmtId="0" fontId="13" fillId="2" borderId="0" xfId="0" applyFont="1" applyFill="1">
      <alignment vertical="center"/>
    </xf>
    <xf numFmtId="0" fontId="6" fillId="2" borderId="2" xfId="0" applyFont="1" applyFill="1" applyBorder="1">
      <alignment vertical="center"/>
    </xf>
    <xf numFmtId="0" fontId="6" fillId="2" borderId="3" xfId="0" applyFont="1" applyFill="1" applyBorder="1">
      <alignment vertical="center"/>
    </xf>
    <xf numFmtId="0" fontId="0" fillId="2" borderId="0" xfId="0" applyFill="1">
      <alignment vertical="center"/>
    </xf>
    <xf numFmtId="0" fontId="6" fillId="2" borderId="7" xfId="0" applyFont="1" applyFill="1" applyBorder="1">
      <alignment vertical="center"/>
    </xf>
    <xf numFmtId="0" fontId="5" fillId="0" borderId="0" xfId="0" applyFont="1" applyAlignment="1">
      <alignment horizontal="right" vertical="center"/>
    </xf>
    <xf numFmtId="0" fontId="6" fillId="3" borderId="1" xfId="0" applyFont="1" applyFill="1" applyBorder="1">
      <alignment vertical="center"/>
    </xf>
    <xf numFmtId="0" fontId="3" fillId="2" borderId="0" xfId="0" applyFont="1" applyFill="1" applyAlignment="1">
      <alignment horizontal="right" vertical="center"/>
    </xf>
    <xf numFmtId="0" fontId="6" fillId="2" borderId="0" xfId="0" applyFont="1" applyFill="1" applyAlignment="1">
      <alignment horizontal="right" vertical="center"/>
    </xf>
    <xf numFmtId="0" fontId="6" fillId="0" borderId="0" xfId="0" applyFont="1" applyAlignment="1">
      <alignment horizontal="right" vertical="center"/>
    </xf>
    <xf numFmtId="0" fontId="2" fillId="0" borderId="0" xfId="0" applyFont="1" applyAlignment="1">
      <alignment horizontal="right" vertical="center"/>
    </xf>
    <xf numFmtId="0" fontId="0" fillId="0" borderId="0" xfId="0" applyAlignment="1">
      <alignment horizontal="right" vertical="center"/>
    </xf>
    <xf numFmtId="0" fontId="6" fillId="3" borderId="10" xfId="0" applyFont="1" applyFill="1" applyBorder="1" applyAlignment="1">
      <alignment wrapText="1"/>
    </xf>
    <xf numFmtId="0" fontId="3" fillId="2" borderId="0" xfId="0" applyFont="1" applyFill="1" applyAlignment="1">
      <alignment horizontal="left" vertical="center"/>
    </xf>
    <xf numFmtId="0" fontId="4" fillId="2" borderId="0" xfId="0" applyFont="1" applyFill="1" applyAlignment="1"/>
    <xf numFmtId="0" fontId="6" fillId="3" borderId="0" xfId="0" applyFont="1" applyFill="1">
      <alignment vertical="center"/>
    </xf>
    <xf numFmtId="0" fontId="3" fillId="3" borderId="0" xfId="0" applyFont="1" applyFill="1">
      <alignment vertical="center"/>
    </xf>
    <xf numFmtId="0" fontId="3" fillId="2" borderId="14" xfId="0" applyFont="1" applyFill="1" applyBorder="1">
      <alignment vertical="center"/>
    </xf>
    <xf numFmtId="0" fontId="15" fillId="2" borderId="13" xfId="0" applyFont="1" applyFill="1" applyBorder="1" applyAlignment="1">
      <alignment horizontal="center" vertical="center"/>
    </xf>
    <xf numFmtId="0" fontId="0" fillId="0" borderId="15" xfId="0" applyBorder="1">
      <alignment vertical="center"/>
    </xf>
    <xf numFmtId="0" fontId="3" fillId="2" borderId="18" xfId="0" applyFont="1" applyFill="1" applyBorder="1" applyAlignment="1">
      <alignment horizontal="left" vertical="center"/>
    </xf>
    <xf numFmtId="0" fontId="15" fillId="2" borderId="0" xfId="0" applyFont="1" applyFill="1">
      <alignment vertical="center"/>
    </xf>
    <xf numFmtId="0" fontId="10" fillId="2" borderId="0" xfId="0" applyFont="1" applyFill="1">
      <alignment vertical="center"/>
    </xf>
    <xf numFmtId="0" fontId="21" fillId="0" borderId="21" xfId="0" applyFont="1" applyBorder="1">
      <alignment vertical="center"/>
    </xf>
    <xf numFmtId="0" fontId="21" fillId="0" borderId="22" xfId="0" applyFont="1" applyBorder="1">
      <alignment vertical="center"/>
    </xf>
    <xf numFmtId="0" fontId="21" fillId="0" borderId="23" xfId="0" applyFont="1" applyBorder="1">
      <alignment vertical="center"/>
    </xf>
    <xf numFmtId="0" fontId="21" fillId="0" borderId="24" xfId="0" applyFont="1" applyBorder="1">
      <alignment vertical="center"/>
    </xf>
    <xf numFmtId="0" fontId="21" fillId="0" borderId="25" xfId="0" applyFont="1" applyBorder="1">
      <alignment vertical="center"/>
    </xf>
    <xf numFmtId="0" fontId="21" fillId="0" borderId="27" xfId="0" applyFont="1" applyBorder="1">
      <alignment vertical="center"/>
    </xf>
    <xf numFmtId="0" fontId="8" fillId="2" borderId="19" xfId="0" applyFont="1" applyFill="1" applyBorder="1">
      <alignment vertical="center"/>
    </xf>
    <xf numFmtId="0" fontId="3" fillId="2" borderId="26" xfId="0" applyFont="1" applyFill="1" applyBorder="1">
      <alignment vertical="center"/>
    </xf>
    <xf numFmtId="0" fontId="23" fillId="0" borderId="26" xfId="0" applyFont="1" applyBorder="1">
      <alignment vertical="center"/>
    </xf>
    <xf numFmtId="38" fontId="4" fillId="2" borderId="12" xfId="1" applyFont="1" applyFill="1" applyBorder="1" applyAlignment="1">
      <alignment vertical="top"/>
    </xf>
    <xf numFmtId="38" fontId="4" fillId="2" borderId="13" xfId="1" applyFont="1" applyFill="1" applyBorder="1" applyAlignment="1">
      <alignment vertical="top"/>
    </xf>
    <xf numFmtId="38" fontId="4" fillId="2" borderId="14" xfId="1" applyFont="1" applyFill="1" applyBorder="1" applyAlignment="1">
      <alignment vertical="top"/>
    </xf>
    <xf numFmtId="0" fontId="13" fillId="2" borderId="16" xfId="0" applyFont="1" applyFill="1" applyBorder="1" applyAlignment="1">
      <alignment horizontal="left" vertical="center"/>
    </xf>
    <xf numFmtId="0" fontId="3" fillId="2" borderId="12" xfId="0" applyFont="1" applyFill="1" applyBorder="1">
      <alignment vertical="center"/>
    </xf>
    <xf numFmtId="0" fontId="6" fillId="3" borderId="9" xfId="0" applyFont="1" applyFill="1" applyBorder="1" applyAlignment="1">
      <alignment wrapText="1"/>
    </xf>
    <xf numFmtId="0" fontId="3" fillId="3" borderId="8" xfId="0" applyFont="1" applyFill="1" applyBorder="1">
      <alignment vertical="center"/>
    </xf>
    <xf numFmtId="0" fontId="6" fillId="3" borderId="0" xfId="0" applyFont="1" applyFill="1" applyAlignment="1">
      <alignment vertical="top"/>
    </xf>
    <xf numFmtId="0" fontId="13" fillId="2" borderId="0" xfId="0" applyFont="1" applyFill="1" applyAlignment="1">
      <alignment horizontal="right" vertical="center"/>
    </xf>
    <xf numFmtId="0" fontId="13" fillId="2" borderId="18" xfId="0" applyFont="1" applyFill="1" applyBorder="1">
      <alignment vertical="center"/>
    </xf>
    <xf numFmtId="0" fontId="0" fillId="0" borderId="19" xfId="0" applyBorder="1">
      <alignment vertical="center"/>
    </xf>
    <xf numFmtId="0" fontId="13" fillId="0" borderId="0" xfId="0" applyFont="1">
      <alignment vertical="center"/>
    </xf>
    <xf numFmtId="38" fontId="8" fillId="2" borderId="0" xfId="1" applyFont="1" applyFill="1" applyBorder="1" applyAlignment="1">
      <alignment vertical="center"/>
    </xf>
    <xf numFmtId="38" fontId="8" fillId="2" borderId="0" xfId="1" applyFont="1" applyFill="1" applyBorder="1" applyAlignment="1">
      <alignment horizontal="center" vertical="center"/>
    </xf>
    <xf numFmtId="0" fontId="3" fillId="3" borderId="2" xfId="0" applyFont="1" applyFill="1" applyBorder="1">
      <alignment vertical="center"/>
    </xf>
    <xf numFmtId="0" fontId="3" fillId="3" borderId="2" xfId="0" applyFont="1" applyFill="1" applyBorder="1" applyAlignment="1">
      <alignment horizontal="right" vertical="center"/>
    </xf>
    <xf numFmtId="0" fontId="4" fillId="3" borderId="2" xfId="0" applyFont="1" applyFill="1" applyBorder="1">
      <alignment vertical="center"/>
    </xf>
    <xf numFmtId="0" fontId="4" fillId="3" borderId="3" xfId="0" applyFont="1" applyFill="1" applyBorder="1">
      <alignment vertical="center"/>
    </xf>
    <xf numFmtId="0" fontId="9" fillId="3" borderId="2" xfId="0" applyFont="1" applyFill="1" applyBorder="1">
      <alignment vertical="center"/>
    </xf>
    <xf numFmtId="0" fontId="7" fillId="2" borderId="0" xfId="0" applyFont="1" applyFill="1" applyAlignment="1">
      <alignment horizontal="left" vertical="center"/>
    </xf>
    <xf numFmtId="0" fontId="7" fillId="2" borderId="18" xfId="0" applyFont="1" applyFill="1" applyBorder="1" applyAlignment="1">
      <alignment horizontal="left" vertical="center"/>
    </xf>
    <xf numFmtId="0" fontId="4" fillId="2" borderId="0" xfId="0" applyFont="1" applyFill="1" applyAlignment="1">
      <alignment horizontal="center" vertical="center"/>
    </xf>
    <xf numFmtId="0" fontId="7" fillId="0" borderId="0" xfId="0" applyFont="1">
      <alignment vertical="center"/>
    </xf>
    <xf numFmtId="0" fontId="6" fillId="0" borderId="20" xfId="0" applyFont="1" applyBorder="1">
      <alignment vertical="center"/>
    </xf>
    <xf numFmtId="0" fontId="11" fillId="2" borderId="0" xfId="0" applyFont="1" applyFill="1">
      <alignment vertical="center"/>
    </xf>
    <xf numFmtId="0" fontId="11" fillId="2" borderId="0" xfId="0" applyFont="1" applyFill="1" applyAlignment="1"/>
    <xf numFmtId="0" fontId="0" fillId="0" borderId="1" xfId="0" applyBorder="1">
      <alignment vertic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6" fillId="0" borderId="5" xfId="0" applyFont="1" applyBorder="1">
      <alignment vertical="center"/>
    </xf>
    <xf numFmtId="0" fontId="6" fillId="0" borderId="5" xfId="0" applyFont="1"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3" fillId="0" borderId="0" xfId="0" applyFo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6" fillId="0" borderId="0" xfId="0" applyFont="1" applyAlignment="1">
      <alignment horizontal="center" vertical="center"/>
    </xf>
    <xf numFmtId="0" fontId="3" fillId="0" borderId="0" xfId="0" applyFont="1" applyAlignment="1">
      <alignment horizontal="right" vertical="center" indent="1"/>
    </xf>
    <xf numFmtId="0" fontId="3" fillId="0" borderId="0" xfId="0" applyFont="1" applyAlignment="1">
      <alignment horizontal="left" vertical="center" indent="1"/>
    </xf>
    <xf numFmtId="0" fontId="0" fillId="0" borderId="8" xfId="0" applyBorder="1">
      <alignment vertical="center"/>
    </xf>
    <xf numFmtId="0" fontId="6" fillId="0" borderId="10" xfId="0" applyFont="1" applyBorder="1" applyAlignment="1">
      <alignment wrapText="1"/>
    </xf>
    <xf numFmtId="0" fontId="3" fillId="0" borderId="10" xfId="0" applyFont="1" applyBorder="1">
      <alignment vertical="center"/>
    </xf>
    <xf numFmtId="0" fontId="3" fillId="0" borderId="10" xfId="0" applyFont="1" applyBorder="1" applyAlignment="1">
      <alignment horizontal="right" vertical="center" indent="1"/>
    </xf>
    <xf numFmtId="0" fontId="3" fillId="0" borderId="10" xfId="0" applyFont="1" applyBorder="1" applyAlignment="1">
      <alignment horizontal="left" vertical="center" indent="1"/>
    </xf>
    <xf numFmtId="0" fontId="22" fillId="0" borderId="10" xfId="0" applyFont="1" applyBorder="1">
      <alignment vertical="center"/>
    </xf>
    <xf numFmtId="0" fontId="0" fillId="0" borderId="10" xfId="0" applyBorder="1">
      <alignment vertical="center"/>
    </xf>
    <xf numFmtId="0" fontId="0" fillId="0" borderId="11" xfId="0" applyBorder="1">
      <alignment vertical="center"/>
    </xf>
    <xf numFmtId="0" fontId="25" fillId="2" borderId="0" xfId="0" applyFont="1" applyFill="1" applyAlignment="1"/>
    <xf numFmtId="0" fontId="27" fillId="2" borderId="0" xfId="0" applyFont="1" applyFill="1" applyAlignment="1">
      <alignment horizontal="center"/>
    </xf>
    <xf numFmtId="0" fontId="25" fillId="2" borderId="0" xfId="0" applyFont="1" applyFill="1" applyAlignment="1">
      <alignment horizontal="center"/>
    </xf>
    <xf numFmtId="0" fontId="24" fillId="2" borderId="0" xfId="0" applyFont="1" applyFill="1" applyAlignment="1">
      <alignment horizontal="left"/>
    </xf>
    <xf numFmtId="0" fontId="11" fillId="2" borderId="0" xfId="0" applyFont="1" applyFill="1" applyAlignment="1">
      <alignment horizontal="left"/>
    </xf>
    <xf numFmtId="0" fontId="11" fillId="2" borderId="0" xfId="0" applyFont="1" applyFill="1" applyAlignment="1">
      <alignment horizontal="left" wrapText="1"/>
    </xf>
    <xf numFmtId="0" fontId="8" fillId="2" borderId="0" xfId="0" applyFont="1" applyFill="1" applyAlignment="1">
      <alignment horizontal="center" vertical="top"/>
    </xf>
    <xf numFmtId="0" fontId="0" fillId="0" borderId="13" xfId="0" applyBorder="1">
      <alignment vertical="center"/>
    </xf>
    <xf numFmtId="0" fontId="0" fillId="0" borderId="14" xfId="0" applyBorder="1">
      <alignment vertical="center"/>
    </xf>
    <xf numFmtId="0" fontId="4" fillId="2" borderId="16" xfId="0" applyFont="1" applyFill="1" applyBorder="1">
      <alignment vertical="center"/>
    </xf>
    <xf numFmtId="0" fontId="0" fillId="0" borderId="16" xfId="0" applyBorder="1">
      <alignment vertical="center"/>
    </xf>
    <xf numFmtId="0" fontId="0" fillId="0" borderId="23" xfId="0" applyBorder="1">
      <alignment vertical="center"/>
    </xf>
    <xf numFmtId="0" fontId="0" fillId="0" borderId="24" xfId="0" applyBorder="1">
      <alignment vertical="center"/>
    </xf>
    <xf numFmtId="0" fontId="8" fillId="2" borderId="0" xfId="0" applyFont="1" applyFill="1">
      <alignment vertical="center"/>
    </xf>
    <xf numFmtId="0" fontId="8" fillId="2" borderId="0" xfId="0" applyFont="1" applyFill="1" applyAlignment="1">
      <alignment horizontal="right" vertical="center"/>
    </xf>
    <xf numFmtId="0" fontId="0" fillId="0" borderId="0" xfId="0" applyAlignment="1"/>
    <xf numFmtId="38" fontId="8" fillId="2" borderId="0" xfId="0" applyNumberFormat="1" applyFont="1" applyFill="1" applyAlignment="1">
      <alignment horizontal="center" vertical="center"/>
    </xf>
    <xf numFmtId="0" fontId="11" fillId="2" borderId="0" xfId="0" applyFont="1" applyFill="1" applyAlignment="1">
      <alignment horizontal="left" vertical="center"/>
    </xf>
    <xf numFmtId="0" fontId="29" fillId="2" borderId="0" xfId="0" applyFont="1" applyFill="1">
      <alignment vertical="center"/>
    </xf>
    <xf numFmtId="0" fontId="8" fillId="2" borderId="0" xfId="0" applyFont="1" applyFill="1" applyAlignment="1"/>
    <xf numFmtId="0" fontId="8" fillId="2" borderId="0" xfId="0" applyFont="1" applyFill="1" applyAlignment="1">
      <alignment vertical="top"/>
    </xf>
    <xf numFmtId="0" fontId="8" fillId="2" borderId="0" xfId="0" applyFont="1" applyFill="1" applyAlignment="1">
      <alignment wrapText="1"/>
    </xf>
    <xf numFmtId="0" fontId="30" fillId="2" borderId="0" xfId="0" applyFont="1" applyFill="1">
      <alignment vertical="center"/>
    </xf>
    <xf numFmtId="0" fontId="31" fillId="2" borderId="0" xfId="0" applyFont="1" applyFill="1">
      <alignment vertical="center"/>
    </xf>
    <xf numFmtId="0" fontId="24" fillId="2" borderId="0" xfId="0" applyFont="1" applyFill="1" applyAlignment="1">
      <alignment vertical="top" wrapText="1"/>
    </xf>
    <xf numFmtId="0" fontId="8" fillId="2" borderId="18" xfId="0" applyFont="1" applyFill="1" applyBorder="1">
      <alignment vertical="center"/>
    </xf>
    <xf numFmtId="38" fontId="8" fillId="2" borderId="16" xfId="1" applyFont="1" applyFill="1" applyBorder="1" applyAlignment="1">
      <alignment vertical="center"/>
    </xf>
    <xf numFmtId="0" fontId="7" fillId="2" borderId="26" xfId="0" applyFont="1" applyFill="1" applyBorder="1">
      <alignment vertical="center"/>
    </xf>
    <xf numFmtId="38" fontId="8" fillId="2" borderId="15" xfId="0" applyNumberFormat="1" applyFont="1" applyFill="1" applyBorder="1">
      <alignment vertical="center"/>
    </xf>
    <xf numFmtId="38" fontId="8" fillId="2" borderId="0" xfId="0" applyNumberFormat="1" applyFont="1" applyFill="1">
      <alignment vertical="center"/>
    </xf>
    <xf numFmtId="0" fontId="9" fillId="2" borderId="0" xfId="0" applyFont="1" applyFill="1" applyAlignment="1">
      <alignment horizontal="distributed" vertical="center" indent="1"/>
    </xf>
    <xf numFmtId="38" fontId="4" fillId="2" borderId="0" xfId="1" applyFont="1" applyFill="1" applyBorder="1" applyAlignment="1">
      <alignment vertical="top"/>
    </xf>
    <xf numFmtId="0" fontId="10" fillId="2" borderId="0" xfId="0" applyFont="1" applyFill="1" applyAlignment="1">
      <alignment horizontal="left" vertical="center"/>
    </xf>
    <xf numFmtId="0" fontId="7" fillId="2" borderId="26" xfId="0" applyFont="1" applyFill="1" applyBorder="1" applyAlignment="1">
      <alignment horizontal="left" vertical="center"/>
    </xf>
    <xf numFmtId="0" fontId="9" fillId="0" borderId="0" xfId="0" applyFont="1">
      <alignment vertical="center"/>
    </xf>
    <xf numFmtId="38" fontId="30" fillId="0" borderId="0" xfId="1" applyFont="1" applyBorder="1" applyAlignment="1"/>
    <xf numFmtId="0" fontId="8" fillId="2" borderId="18" xfId="0" applyFont="1" applyFill="1" applyBorder="1" applyAlignment="1">
      <alignment horizontal="left"/>
    </xf>
    <xf numFmtId="0" fontId="8" fillId="2" borderId="0" xfId="0" applyFont="1" applyFill="1" applyAlignment="1">
      <alignment horizontal="left"/>
    </xf>
    <xf numFmtId="38" fontId="8" fillId="2" borderId="12" xfId="0" applyNumberFormat="1" applyFont="1" applyFill="1" applyBorder="1">
      <alignment vertical="center"/>
    </xf>
    <xf numFmtId="38" fontId="8" fillId="2" borderId="13" xfId="0" applyNumberFormat="1" applyFont="1" applyFill="1" applyBorder="1">
      <alignment vertical="center"/>
    </xf>
    <xf numFmtId="38" fontId="8" fillId="2" borderId="14" xfId="0" applyNumberFormat="1" applyFont="1" applyFill="1" applyBorder="1">
      <alignment vertical="center"/>
    </xf>
    <xf numFmtId="38" fontId="8" fillId="2" borderId="16" xfId="0" applyNumberFormat="1" applyFont="1" applyFill="1" applyBorder="1">
      <alignment vertical="center"/>
    </xf>
    <xf numFmtId="38" fontId="8" fillId="2" borderId="19" xfId="0" applyNumberFormat="1" applyFont="1" applyFill="1" applyBorder="1">
      <alignment vertical="center"/>
    </xf>
    <xf numFmtId="38" fontId="4" fillId="2" borderId="0" xfId="1" applyFont="1" applyFill="1">
      <alignment vertical="center"/>
    </xf>
    <xf numFmtId="38" fontId="31" fillId="2" borderId="0" xfId="1" applyFont="1" applyFill="1" applyAlignment="1">
      <alignment vertical="center"/>
    </xf>
    <xf numFmtId="0" fontId="34" fillId="2" borderId="0" xfId="0" applyFont="1" applyFill="1">
      <alignment vertical="center"/>
    </xf>
    <xf numFmtId="0" fontId="33" fillId="0" borderId="0" xfId="0" applyFont="1">
      <alignment vertical="center"/>
    </xf>
    <xf numFmtId="0" fontId="35" fillId="2" borderId="0" xfId="0" applyFont="1" applyFill="1">
      <alignment vertical="center"/>
    </xf>
    <xf numFmtId="0" fontId="0" fillId="0" borderId="28" xfId="0" applyBorder="1">
      <alignment vertical="center"/>
    </xf>
    <xf numFmtId="0" fontId="0" fillId="0" borderId="34" xfId="0" applyBorder="1">
      <alignment vertical="center"/>
    </xf>
    <xf numFmtId="0" fontId="0" fillId="0" borderId="35" xfId="0" applyBorder="1">
      <alignment vertical="center"/>
    </xf>
    <xf numFmtId="0" fontId="14" fillId="0" borderId="36" xfId="0" applyFont="1" applyBorder="1">
      <alignment vertical="center"/>
    </xf>
    <xf numFmtId="0" fontId="6" fillId="3" borderId="10" xfId="0" applyFont="1" applyFill="1" applyBorder="1" applyAlignment="1">
      <alignment vertical="center" wrapText="1"/>
    </xf>
    <xf numFmtId="0" fontId="6" fillId="3" borderId="5" xfId="0" applyFont="1" applyFill="1" applyBorder="1" applyAlignment="1">
      <alignment vertical="center" wrapText="1"/>
    </xf>
    <xf numFmtId="0" fontId="6" fillId="3" borderId="0" xfId="0" applyFont="1" applyFill="1" applyBorder="1" applyAlignment="1">
      <alignment vertical="center" wrapText="1"/>
    </xf>
    <xf numFmtId="0" fontId="3" fillId="2" borderId="7" xfId="0" applyFont="1" applyFill="1" applyBorder="1" applyAlignment="1">
      <alignment horizontal="left" vertical="center" wrapText="1" indent="3"/>
    </xf>
    <xf numFmtId="0" fontId="3" fillId="2" borderId="0" xfId="0" applyFont="1" applyFill="1" applyBorder="1" applyAlignment="1">
      <alignment horizontal="left" vertical="center" wrapText="1" indent="3"/>
    </xf>
    <xf numFmtId="0" fontId="3" fillId="2" borderId="8" xfId="0" applyFont="1" applyFill="1" applyBorder="1" applyAlignment="1">
      <alignment horizontal="left" vertical="center" wrapText="1" indent="3"/>
    </xf>
    <xf numFmtId="0" fontId="6" fillId="0" borderId="4" xfId="0" applyFont="1" applyBorder="1">
      <alignment vertical="center"/>
    </xf>
    <xf numFmtId="0" fontId="0" fillId="0" borderId="5" xfId="0" applyBorder="1">
      <alignment vertical="center"/>
    </xf>
    <xf numFmtId="0" fontId="14" fillId="0" borderId="5" xfId="0" applyFont="1" applyBorder="1" applyAlignment="1">
      <alignment horizontal="left" vertical="center"/>
    </xf>
    <xf numFmtId="0" fontId="0" fillId="0" borderId="5" xfId="0" applyBorder="1" applyAlignment="1">
      <alignment horizontal="right" vertical="center"/>
    </xf>
    <xf numFmtId="0" fontId="14" fillId="0" borderId="5" xfId="0" applyFont="1" applyBorder="1" applyAlignment="1">
      <alignment horizontal="centerContinuous" vertical="center"/>
    </xf>
    <xf numFmtId="0" fontId="6" fillId="0" borderId="6" xfId="0" applyFont="1" applyBorder="1">
      <alignment vertical="center"/>
    </xf>
    <xf numFmtId="0" fontId="9" fillId="0" borderId="4" xfId="0" applyFont="1" applyBorder="1">
      <alignment vertical="center"/>
    </xf>
    <xf numFmtId="0" fontId="9" fillId="0" borderId="5" xfId="0" applyFont="1" applyBorder="1">
      <alignment vertical="center"/>
    </xf>
    <xf numFmtId="0" fontId="0" fillId="0" borderId="5" xfId="0" applyFont="1" applyBorder="1" applyAlignment="1">
      <alignment horizontal="left" vertical="center"/>
    </xf>
    <xf numFmtId="0" fontId="9" fillId="0" borderId="7" xfId="0" applyFont="1" applyBorder="1">
      <alignment vertical="center"/>
    </xf>
    <xf numFmtId="0" fontId="6" fillId="0" borderId="0" xfId="0" applyFont="1" applyBorder="1">
      <alignment vertical="center"/>
    </xf>
    <xf numFmtId="0" fontId="9" fillId="0" borderId="0" xfId="0" applyFont="1" applyBorder="1">
      <alignment vertical="center"/>
    </xf>
    <xf numFmtId="0" fontId="0" fillId="0" borderId="0" xfId="0" applyFont="1" applyAlignment="1">
      <alignment horizontal="left" vertical="center"/>
    </xf>
    <xf numFmtId="0" fontId="6" fillId="0" borderId="8" xfId="0" applyFont="1" applyBorder="1">
      <alignment vertical="center"/>
    </xf>
    <xf numFmtId="49" fontId="30" fillId="0" borderId="9" xfId="2" applyNumberFormat="1" applyFont="1" applyBorder="1" applyAlignment="1">
      <alignment vertical="center" wrapText="1"/>
    </xf>
    <xf numFmtId="49" fontId="30" fillId="0" borderId="11" xfId="2" applyNumberFormat="1" applyFont="1" applyBorder="1" applyAlignment="1">
      <alignment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0" fillId="0" borderId="1" xfId="0"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14" fillId="3" borderId="1"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6" fillId="3" borderId="5" xfId="0" applyFont="1" applyFill="1" applyBorder="1" applyAlignment="1">
      <alignment vertical="center" wrapText="1"/>
    </xf>
    <xf numFmtId="0" fontId="6" fillId="3" borderId="6" xfId="0" applyFont="1" applyFill="1" applyBorder="1" applyAlignment="1">
      <alignment vertical="center" wrapText="1"/>
    </xf>
    <xf numFmtId="0" fontId="6" fillId="3" borderId="0" xfId="0" applyFont="1" applyFill="1" applyBorder="1" applyAlignment="1">
      <alignment vertical="center" wrapText="1"/>
    </xf>
    <xf numFmtId="0" fontId="6" fillId="3" borderId="8" xfId="0" applyFont="1" applyFill="1" applyBorder="1" applyAlignment="1">
      <alignment vertical="center" wrapText="1"/>
    </xf>
    <xf numFmtId="0" fontId="6" fillId="3" borderId="10" xfId="0" applyFont="1" applyFill="1" applyBorder="1" applyAlignment="1">
      <alignment vertical="center" wrapText="1"/>
    </xf>
    <xf numFmtId="0" fontId="6" fillId="3" borderId="11" xfId="0" applyFont="1" applyFill="1" applyBorder="1" applyAlignment="1">
      <alignment vertical="center" wrapText="1"/>
    </xf>
    <xf numFmtId="0" fontId="6"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9" fillId="2" borderId="0" xfId="0" applyFont="1" applyFill="1" applyAlignment="1">
      <alignment horizontal="left" vertical="center"/>
    </xf>
    <xf numFmtId="0" fontId="3" fillId="3" borderId="28" xfId="0" applyFont="1" applyFill="1" applyBorder="1" applyAlignment="1">
      <alignment horizontal="center" vertical="center"/>
    </xf>
    <xf numFmtId="0" fontId="36" fillId="2" borderId="0" xfId="0" applyFont="1" applyFill="1" applyAlignment="1">
      <alignment horizontal="left" vertical="center" wrapText="1"/>
    </xf>
    <xf numFmtId="0" fontId="34" fillId="2" borderId="10" xfId="0" applyFont="1" applyFill="1" applyBorder="1" applyAlignment="1">
      <alignment horizontal="center" vertical="center"/>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38" fontId="4" fillId="2" borderId="15" xfId="0" applyNumberFormat="1" applyFont="1" applyFill="1" applyBorder="1" applyAlignment="1">
      <alignment horizontal="center" vertical="center"/>
    </xf>
    <xf numFmtId="38" fontId="4" fillId="2" borderId="0" xfId="0" applyNumberFormat="1" applyFont="1" applyFill="1" applyAlignment="1">
      <alignment horizontal="center" vertical="center"/>
    </xf>
    <xf numFmtId="38" fontId="4" fillId="2" borderId="17" xfId="0" applyNumberFormat="1" applyFont="1" applyFill="1" applyBorder="1" applyAlignment="1">
      <alignment horizontal="center" vertical="center"/>
    </xf>
    <xf numFmtId="38" fontId="4" fillId="2" borderId="18" xfId="0" applyNumberFormat="1" applyFont="1" applyFill="1" applyBorder="1" applyAlignment="1">
      <alignment horizontal="center" vertical="center"/>
    </xf>
    <xf numFmtId="0" fontId="3" fillId="2" borderId="4" xfId="0" applyFont="1" applyFill="1" applyBorder="1" applyAlignment="1">
      <alignment horizontal="left" vertical="center" wrapText="1" indent="3"/>
    </xf>
    <xf numFmtId="0" fontId="3" fillId="2" borderId="5" xfId="0" applyFont="1" applyFill="1" applyBorder="1" applyAlignment="1">
      <alignment horizontal="left" vertical="center" wrapText="1" indent="3"/>
    </xf>
    <xf numFmtId="0" fontId="3" fillId="2" borderId="6" xfId="0" applyFont="1" applyFill="1" applyBorder="1" applyAlignment="1">
      <alignment horizontal="left" vertical="center" wrapText="1" indent="3"/>
    </xf>
    <xf numFmtId="0" fontId="3" fillId="2" borderId="9" xfId="0" applyFont="1" applyFill="1" applyBorder="1" applyAlignment="1">
      <alignment horizontal="left" vertical="center" wrapText="1" indent="3"/>
    </xf>
    <xf numFmtId="0" fontId="3" fillId="2" borderId="10" xfId="0" applyFont="1" applyFill="1" applyBorder="1" applyAlignment="1">
      <alignment horizontal="left" vertical="center" wrapText="1" indent="3"/>
    </xf>
    <xf numFmtId="0" fontId="3" fillId="2" borderId="11" xfId="0" applyFont="1" applyFill="1" applyBorder="1" applyAlignment="1">
      <alignment horizontal="left" vertical="center" wrapText="1" indent="3"/>
    </xf>
    <xf numFmtId="38" fontId="8" fillId="2" borderId="15" xfId="0" applyNumberFormat="1" applyFont="1" applyFill="1" applyBorder="1" applyAlignment="1">
      <alignment horizontal="center" vertical="center"/>
    </xf>
    <xf numFmtId="38" fontId="8" fillId="2" borderId="0" xfId="0" applyNumberFormat="1" applyFont="1" applyFill="1" applyAlignment="1">
      <alignment horizontal="center" vertical="center"/>
    </xf>
    <xf numFmtId="38" fontId="8" fillId="2" borderId="17" xfId="0" applyNumberFormat="1" applyFont="1" applyFill="1" applyBorder="1" applyAlignment="1">
      <alignment horizontal="center" vertical="center"/>
    </xf>
    <xf numFmtId="38" fontId="8" fillId="2" borderId="18" xfId="0" applyNumberFormat="1" applyFont="1" applyFill="1" applyBorder="1" applyAlignment="1">
      <alignment horizontal="center" vertical="center"/>
    </xf>
    <xf numFmtId="0" fontId="13" fillId="0" borderId="0" xfId="0" applyFont="1" applyAlignment="1">
      <alignment horizontal="center" vertical="center"/>
    </xf>
    <xf numFmtId="0" fontId="13" fillId="0" borderId="26" xfId="0" applyFont="1" applyBorder="1" applyAlignment="1">
      <alignment horizontal="center" vertical="center"/>
    </xf>
    <xf numFmtId="49" fontId="6" fillId="0" borderId="10" xfId="2" applyNumberFormat="1" applyFont="1" applyBorder="1" applyAlignment="1">
      <alignment horizontal="center" vertical="center" wrapText="1"/>
    </xf>
    <xf numFmtId="0" fontId="6" fillId="2" borderId="2" xfId="0" applyFont="1" applyFill="1" applyBorder="1" applyAlignment="1">
      <alignment horizontal="center" vertical="center"/>
    </xf>
    <xf numFmtId="0" fontId="6" fillId="3" borderId="2" xfId="0" applyFont="1" applyFill="1" applyBorder="1" applyAlignment="1">
      <alignment vertical="center" wrapText="1"/>
    </xf>
    <xf numFmtId="0" fontId="6" fillId="3" borderId="3" xfId="0" applyFont="1" applyFill="1" applyBorder="1" applyAlignment="1">
      <alignment vertical="center" wrapText="1"/>
    </xf>
    <xf numFmtId="0" fontId="18" fillId="2" borderId="0" xfId="0" applyFont="1" applyFill="1" applyAlignment="1">
      <alignment horizontal="center" vertical="center"/>
    </xf>
    <xf numFmtId="0" fontId="6" fillId="2" borderId="1" xfId="0" applyFont="1" applyFill="1" applyBorder="1" applyAlignment="1">
      <alignment horizontal="center" vertical="center"/>
    </xf>
    <xf numFmtId="0" fontId="6" fillId="3" borderId="2" xfId="0" applyFont="1" applyFill="1" applyBorder="1" applyAlignment="1">
      <alignment vertical="center"/>
    </xf>
    <xf numFmtId="0" fontId="6" fillId="3" borderId="3" xfId="0" applyFont="1" applyFill="1" applyBorder="1" applyAlignment="1">
      <alignment vertical="center"/>
    </xf>
    <xf numFmtId="0" fontId="28" fillId="0" borderId="28"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176" fontId="7" fillId="2" borderId="1" xfId="0" applyNumberFormat="1" applyFont="1" applyFill="1" applyBorder="1" applyAlignment="1">
      <alignment horizontal="center" vertical="center"/>
    </xf>
    <xf numFmtId="176" fontId="7" fillId="2" borderId="2" xfId="0" applyNumberFormat="1"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38" fontId="9" fillId="2" borderId="1" xfId="1" applyFont="1" applyFill="1" applyBorder="1" applyAlignment="1">
      <alignment horizontal="center" vertical="center"/>
    </xf>
    <xf numFmtId="38" fontId="9" fillId="2" borderId="2" xfId="1" applyFont="1" applyFill="1" applyBorder="1" applyAlignment="1">
      <alignment horizontal="center" vertical="center"/>
    </xf>
    <xf numFmtId="0" fontId="4" fillId="0" borderId="31" xfId="0" applyFont="1" applyBorder="1" applyAlignment="1">
      <alignment horizontal="center" vertical="center"/>
    </xf>
    <xf numFmtId="0" fontId="6" fillId="2" borderId="0" xfId="0" applyFont="1" applyFill="1" applyAlignment="1">
      <alignment horizontal="left" vertical="center" wrapText="1"/>
    </xf>
    <xf numFmtId="0" fontId="6" fillId="2" borderId="0" xfId="0" applyFont="1" applyFill="1" applyAlignment="1">
      <alignment horizontal="left" vertical="center"/>
    </xf>
    <xf numFmtId="0" fontId="17" fillId="2" borderId="0" xfId="0" applyFont="1" applyFill="1" applyAlignment="1">
      <alignment horizontal="left"/>
    </xf>
    <xf numFmtId="0" fontId="17" fillId="2" borderId="0" xfId="0" applyFont="1" applyFill="1" applyAlignment="1">
      <alignment horizontal="left" vertical="center"/>
    </xf>
    <xf numFmtId="0" fontId="6" fillId="2" borderId="2" xfId="0" applyFont="1" applyFill="1" applyBorder="1" applyAlignment="1">
      <alignment horizontal="left" vertical="center"/>
    </xf>
    <xf numFmtId="0" fontId="6" fillId="2" borderId="1" xfId="0" applyFont="1" applyFill="1" applyBorder="1" applyAlignment="1">
      <alignment horizontal="right" vertical="center" indent="6"/>
    </xf>
    <xf numFmtId="0" fontId="6" fillId="2" borderId="2" xfId="0" applyFont="1" applyFill="1" applyBorder="1" applyAlignment="1">
      <alignment horizontal="right" vertical="center" indent="6"/>
    </xf>
    <xf numFmtId="0" fontId="6" fillId="2" borderId="0" xfId="0" applyFont="1" applyFill="1" applyAlignment="1">
      <alignment horizontal="left" wrapText="1"/>
    </xf>
    <xf numFmtId="0" fontId="6" fillId="2" borderId="0" xfId="0" applyFont="1" applyFill="1" applyAlignment="1">
      <alignment horizontal="left"/>
    </xf>
    <xf numFmtId="0" fontId="6" fillId="2" borderId="0" xfId="0" applyFont="1" applyFill="1" applyAlignment="1">
      <alignment horizontal="left" vertical="top" wrapText="1"/>
    </xf>
    <xf numFmtId="0" fontId="6" fillId="2" borderId="0" xfId="0" applyFont="1" applyFill="1" applyAlignment="1">
      <alignment horizontal="left" vertical="top"/>
    </xf>
    <xf numFmtId="0" fontId="6" fillId="2" borderId="3" xfId="0" applyFont="1" applyFill="1" applyBorder="1" applyAlignment="1">
      <alignment horizontal="left" vertical="center"/>
    </xf>
    <xf numFmtId="0" fontId="32" fillId="2" borderId="0" xfId="0" applyFont="1" applyFill="1" applyAlignment="1">
      <alignment horizontal="left" vertical="center" wrapText="1"/>
    </xf>
    <xf numFmtId="0" fontId="8" fillId="2" borderId="0" xfId="0" applyFont="1" applyFill="1" applyAlignment="1">
      <alignment horizontal="center" vertical="center"/>
    </xf>
    <xf numFmtId="38" fontId="37" fillId="2" borderId="15" xfId="1" applyFont="1" applyFill="1" applyBorder="1" applyAlignment="1">
      <alignment horizontal="center" vertical="center"/>
    </xf>
    <xf numFmtId="38" fontId="37" fillId="2" borderId="0" xfId="1" applyFont="1" applyFill="1" applyBorder="1" applyAlignment="1">
      <alignment horizontal="center" vertical="center"/>
    </xf>
    <xf numFmtId="38" fontId="37" fillId="2" borderId="17" xfId="1" applyFont="1" applyFill="1" applyBorder="1" applyAlignment="1">
      <alignment horizontal="center" vertical="center"/>
    </xf>
    <xf numFmtId="38" fontId="37" fillId="2" borderId="18" xfId="1" applyFont="1" applyFill="1" applyBorder="1" applyAlignment="1">
      <alignment horizontal="center" vertical="center"/>
    </xf>
    <xf numFmtId="38" fontId="4" fillId="2" borderId="15" xfId="1" applyFont="1" applyFill="1" applyBorder="1" applyAlignment="1">
      <alignment horizontal="center" vertical="center"/>
    </xf>
    <xf numFmtId="38" fontId="4" fillId="2" borderId="0" xfId="1" applyFont="1" applyFill="1" applyBorder="1" applyAlignment="1">
      <alignment horizontal="center" vertical="center"/>
    </xf>
    <xf numFmtId="38" fontId="4" fillId="2" borderId="17" xfId="1" applyFont="1" applyFill="1" applyBorder="1" applyAlignment="1">
      <alignment horizontal="center" vertical="center"/>
    </xf>
    <xf numFmtId="38" fontId="4" fillId="2" borderId="18" xfId="1" applyFont="1" applyFill="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38" fontId="38" fillId="2" borderId="15" xfId="1" applyFont="1" applyFill="1" applyBorder="1" applyAlignment="1">
      <alignment horizontal="center" vertical="center"/>
    </xf>
    <xf numFmtId="38" fontId="38" fillId="2" borderId="0" xfId="1" applyFont="1" applyFill="1" applyBorder="1" applyAlignment="1">
      <alignment horizontal="center" vertical="center"/>
    </xf>
    <xf numFmtId="38" fontId="38" fillId="2" borderId="17" xfId="1" applyFont="1" applyFill="1" applyBorder="1" applyAlignment="1">
      <alignment horizontal="center" vertical="center"/>
    </xf>
    <xf numFmtId="38" fontId="38" fillId="2" borderId="18" xfId="1" applyFont="1" applyFill="1" applyBorder="1" applyAlignment="1">
      <alignment horizontal="center" vertical="center"/>
    </xf>
    <xf numFmtId="0" fontId="14" fillId="0" borderId="28" xfId="0" applyFont="1" applyBorder="1" applyAlignment="1">
      <alignment horizontal="center" vertical="center"/>
    </xf>
  </cellXfs>
  <cellStyles count="3">
    <cellStyle name="桁区切り" xfId="1" builtinId="6"/>
    <cellStyle name="標準" xfId="0" builtinId="0"/>
    <cellStyle name="標準 2" xfId="2" xr:uid="{00000000-0005-0000-0000-000002000000}"/>
  </cellStyles>
  <dxfs count="23">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DDD9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alcChain.xml" Type="http://schemas.openxmlformats.org/officeDocument/2006/relationships/calcChain"/><Relationship Id="rId6" Target="../customXml/item1.xml" Type="http://schemas.openxmlformats.org/officeDocument/2006/relationships/customXml"/><Relationship Id="rId7" Target="../customXml/item2.xml" Type="http://schemas.openxmlformats.org/officeDocument/2006/relationships/customXml"/><Relationship Id="rId8" Target="../customXml/item3.xml" Type="http://schemas.openxmlformats.org/officeDocument/2006/relationships/custom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Radio" firstButton="1" fmlaLink="$BU$4" lockText="1"/>
</file>

<file path=xl/ctrlProps/ctrlProp4.xml><?xml version="1.0" encoding="utf-8"?>
<formControlPr xmlns="http://schemas.microsoft.com/office/spreadsheetml/2009/9/main" objectType="Radio" firstButton="1" fmlaLink="$BU$7"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firstButton="1" fmlaLink="$BU$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GBox" noThreeD="1"/>
</file>

<file path=xl/ctrlProps/ctrlProp12.xml><?xml version="1.0" encoding="utf-8"?>
<formControlPr xmlns="http://schemas.microsoft.com/office/spreadsheetml/2009/9/main" objectType="Radio" firstButton="1" fmlaLink="$BV$3" lockText="1"/>
</file>

<file path=xl/ctrlProps/ctrlProp13.xml><?xml version="1.0" encoding="utf-8"?>
<formControlPr xmlns="http://schemas.microsoft.com/office/spreadsheetml/2009/9/main" objectType="Radio" lockText="1"/>
</file>

<file path=xl/ctrlProps/ctrlProp14.xml><?xml version="1.0" encoding="utf-8"?>
<formControlPr xmlns="http://schemas.microsoft.com/office/spreadsheetml/2009/9/main" objectType="GBox" noThreeD="1"/>
</file>

<file path=xl/ctrlProps/ctrlProp15.xml><?xml version="1.0" encoding="utf-8"?>
<formControlPr xmlns="http://schemas.microsoft.com/office/spreadsheetml/2009/9/main" objectType="Radio" firstButton="1" fmlaLink="$BU$3" lockText="1"/>
</file>

<file path=xl/ctrlProps/ctrlProp16.xml><?xml version="1.0" encoding="utf-8"?>
<formControlPr xmlns="http://schemas.microsoft.com/office/spreadsheetml/2009/9/main" objectType="Radio" lockText="1"/>
</file>

<file path=xl/ctrlProps/ctrlProp17.xml><?xml version="1.0" encoding="utf-8"?>
<formControlPr xmlns="http://schemas.microsoft.com/office/spreadsheetml/2009/9/main" objectType="GBox" noThreeD="1"/>
</file>

<file path=xl/ctrlProps/ctrlProp18.xml><?xml version="1.0" encoding="utf-8"?>
<formControlPr xmlns="http://schemas.microsoft.com/office/spreadsheetml/2009/9/main" objectType="GBox" noThreeD="1"/>
</file>

<file path=xl/ctrlProps/ctrlProp19.xml><?xml version="1.0" encoding="utf-8"?>
<formControlPr xmlns="http://schemas.microsoft.com/office/spreadsheetml/2009/9/main" objectType="GBox" noThreeD="1"/>
</file>

<file path=xl/ctrlProps/ctrlProp20.xml><?xml version="1.0" encoding="utf-8"?>
<formControlPr xmlns="http://schemas.microsoft.com/office/spreadsheetml/2009/9/main" objectType="GBox" noThreeD="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GBox" noThreeD="1"/>
</file>

<file path=xl/ctrlProps/ctrlProp23.xml><?xml version="1.0" encoding="utf-8"?>
<formControlPr xmlns="http://schemas.microsoft.com/office/spreadsheetml/2009/9/main" objectType="GBox" noThreeD="1"/>
</file>

<file path=xl/ctrlProps/ctrlProp24.xml><?xml version="1.0" encoding="utf-8"?>
<formControlPr xmlns="http://schemas.microsoft.com/office/spreadsheetml/2009/9/main" objectType="GBox"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GBox" noThreeD="1"/>
</file>

<file path=xl/ctrlProps/ctrlProp27.xml><?xml version="1.0" encoding="utf-8"?>
<formControlPr xmlns="http://schemas.microsoft.com/office/spreadsheetml/2009/9/main" objectType="GBox" noThreeD="1"/>
</file>

<file path=xl/ctrlProps/ctrlProp28.xml><?xml version="1.0" encoding="utf-8"?>
<formControlPr xmlns="http://schemas.microsoft.com/office/spreadsheetml/2009/9/main" objectType="GBox" noThreeD="1"/>
</file>

<file path=xl/ctrlProps/ctrlProp29.xml><?xml version="1.0" encoding="utf-8"?>
<formControlPr xmlns="http://schemas.microsoft.com/office/spreadsheetml/2009/9/main" objectType="GBox" noThreeD="1"/>
</file>

<file path=xl/ctrlProps/ctrlProp30.xml><?xml version="1.0" encoding="utf-8"?>
<formControlPr xmlns="http://schemas.microsoft.com/office/spreadsheetml/2009/9/main" objectType="GBox" noThreeD="1"/>
</file>

<file path=xl/ctrlProps/ctrlProp31.xml><?xml version="1.0" encoding="utf-8"?>
<formControlPr xmlns="http://schemas.microsoft.com/office/spreadsheetml/2009/9/main" objectType="GBox" noThreeD="1"/>
</file>

<file path=xl/ctrlProps/ctrlProp32.xml><?xml version="1.0" encoding="utf-8"?>
<formControlPr xmlns="http://schemas.microsoft.com/office/spreadsheetml/2009/9/main" objectType="GBox" noThreeD="1"/>
</file>

<file path=xl/ctrlProps/ctrlProp33.xml><?xml version="1.0" encoding="utf-8"?>
<formControlPr xmlns="http://schemas.microsoft.com/office/spreadsheetml/2009/9/main" objectType="GBox" noThreeD="1"/>
</file>

<file path=xl/ctrlProps/ctrlProp34.xml><?xml version="1.0" encoding="utf-8"?>
<formControlPr xmlns="http://schemas.microsoft.com/office/spreadsheetml/2009/9/main" objectType="GBox" noThreeD="1"/>
</file>

<file path=xl/ctrlProps/ctrlProp35.xml><?xml version="1.0" encoding="utf-8"?>
<formControlPr xmlns="http://schemas.microsoft.com/office/spreadsheetml/2009/9/main" objectType="Radio" firstButton="1" fmlaLink="$BU$11" lockText="1"/>
</file>

<file path=xl/ctrlProps/ctrlProp36.xml><?xml version="1.0" encoding="utf-8"?>
<formControlPr xmlns="http://schemas.microsoft.com/office/spreadsheetml/2009/9/main" objectType="Radio" lockText="1"/>
</file>

<file path=xl/ctrlProps/ctrlProp37.xml><?xml version="1.0" encoding="utf-8"?>
<formControlPr xmlns="http://schemas.microsoft.com/office/spreadsheetml/2009/9/main" objectType="GBox" noThreeD="1"/>
</file>

<file path=xl/ctrlProps/ctrlProp38.xml><?xml version="1.0" encoding="utf-8"?>
<formControlPr xmlns="http://schemas.microsoft.com/office/spreadsheetml/2009/9/main" objectType="Radio" firstButton="1" lockText="1"/>
</file>

<file path=xl/ctrlProps/ctrlProp39.xml><?xml version="1.0" encoding="utf-8"?>
<formControlPr xmlns="http://schemas.microsoft.com/office/spreadsheetml/2009/9/main" objectType="Radio" lockText="1"/>
</file>

<file path=xl/ctrlProps/ctrlProp40.xml><?xml version="1.0" encoding="utf-8"?>
<formControlPr xmlns="http://schemas.microsoft.com/office/spreadsheetml/2009/9/main" objectType="GBox" noThreeD="1"/>
</file>

<file path=xl/ctrlProps/ctrlProp41.xml><?xml version="1.0" encoding="utf-8"?>
<formControlPr xmlns="http://schemas.microsoft.com/office/spreadsheetml/2009/9/main" objectType="Radio" lockText="1"/>
</file>

<file path=xl/ctrlProps/ctrlProp42.xml><?xml version="1.0" encoding="utf-8"?>
<formControlPr xmlns="http://schemas.microsoft.com/office/spreadsheetml/2009/9/main" objectType="G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41</xdr:col>
          <xdr:colOff>47625</xdr:colOff>
          <xdr:row>16</xdr:row>
          <xdr:rowOff>123825</xdr:rowOff>
        </xdr:from>
        <xdr:to>
          <xdr:col>45</xdr:col>
          <xdr:colOff>47625</xdr:colOff>
          <xdr:row>20</xdr:row>
          <xdr:rowOff>57150</xdr:rowOff>
        </xdr:to>
        <xdr:sp macro="" textlink="">
          <xdr:nvSpPr>
            <xdr:cNvPr id="5223" name="Group Box ⑩B" hidden="1">
              <a:extLst>
                <a:ext uri="{63B3BB69-23CF-44E3-9099-C40C66FF867C}">
                  <a14:compatExt spid="_x0000_s5223"/>
                </a:ext>
                <a:ext uri="{FF2B5EF4-FFF2-40B4-BE49-F238E27FC236}">
                  <a16:creationId xmlns:a16="http://schemas.microsoft.com/office/drawing/2014/main" id="{00000000-0008-0000-0000-000067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24</xdr:row>
          <xdr:rowOff>123825</xdr:rowOff>
        </xdr:from>
        <xdr:to>
          <xdr:col>14</xdr:col>
          <xdr:colOff>57150</xdr:colOff>
          <xdr:row>28</xdr:row>
          <xdr:rowOff>85725</xdr:rowOff>
        </xdr:to>
        <xdr:sp macro="" textlink="">
          <xdr:nvSpPr>
            <xdr:cNvPr id="5222" name="Group Box ⑩A２" hidden="1">
              <a:extLst>
                <a:ext uri="{63B3BB69-23CF-44E3-9099-C40C66FF867C}">
                  <a14:compatExt spid="_x0000_s5222"/>
                </a:ext>
                <a:ext uri="{FF2B5EF4-FFF2-40B4-BE49-F238E27FC236}">
                  <a16:creationId xmlns:a16="http://schemas.microsoft.com/office/drawing/2014/main" id="{00000000-0008-0000-0000-000066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16</xdr:row>
          <xdr:rowOff>104775</xdr:rowOff>
        </xdr:from>
        <xdr:to>
          <xdr:col>16</xdr:col>
          <xdr:colOff>76200</xdr:colOff>
          <xdr:row>20</xdr:row>
          <xdr:rowOff>57150</xdr:rowOff>
        </xdr:to>
        <xdr:sp macro="" textlink="">
          <xdr:nvSpPr>
            <xdr:cNvPr id="5221" name="Group Box ⑩A１" hidden="1">
              <a:extLst>
                <a:ext uri="{63B3BB69-23CF-44E3-9099-C40C66FF867C}">
                  <a14:compatExt spid="_x0000_s5221"/>
                </a:ext>
                <a:ext uri="{FF2B5EF4-FFF2-40B4-BE49-F238E27FC236}">
                  <a16:creationId xmlns:a16="http://schemas.microsoft.com/office/drawing/2014/main" id="{00000000-0008-0000-0000-000065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33</xdr:col>
          <xdr:colOff>7938</xdr:colOff>
          <xdr:row>7</xdr:row>
          <xdr:rowOff>141288</xdr:rowOff>
        </xdr:from>
        <xdr:to>
          <xdr:col>65</xdr:col>
          <xdr:colOff>74613</xdr:colOff>
          <xdr:row>8</xdr:row>
          <xdr:rowOff>246063</xdr:rowOff>
        </xdr:to>
        <xdr:grpSp>
          <xdr:nvGrpSpPr>
            <xdr:cNvPr id="6" name="グループ化 5">
              <a:extLst>
                <a:ext uri="{FF2B5EF4-FFF2-40B4-BE49-F238E27FC236}">
                  <a16:creationId xmlns:a16="http://schemas.microsoft.com/office/drawing/2014/main" id="{00000000-0008-0000-0100-000006000000}"/>
                </a:ext>
              </a:extLst>
            </xdr:cNvPr>
            <xdr:cNvGrpSpPr/>
          </xdr:nvGrpSpPr>
          <xdr:grpSpPr>
            <a:xfrm>
              <a:off x="3842786" y="1980027"/>
              <a:ext cx="3272044" cy="245579"/>
              <a:chOff x="3340111" y="1770052"/>
              <a:chExt cx="3222624" cy="247649"/>
            </a:xfrm>
          </xdr:grpSpPr>
          <xdr:sp macro="" textlink="">
            <xdr:nvSpPr>
              <xdr:cNvPr id="5237" name="Option Button ⑦２－２" hidden="1">
                <a:extLst>
                  <a:ext uri="{63B3BB69-23CF-44E3-9099-C40C66FF867C}">
                    <a14:compatExt spid="_x0000_s5237"/>
                  </a:ext>
                  <a:ext uri="{FF2B5EF4-FFF2-40B4-BE49-F238E27FC236}">
                    <a16:creationId xmlns:a16="http://schemas.microsoft.com/office/drawing/2014/main" id="{00000000-0008-0000-0000-000075140000}"/>
                  </a:ext>
                </a:extLst>
              </xdr:cNvPr>
              <xdr:cNvSpPr/>
            </xdr:nvSpPr>
            <xdr:spPr bwMode="auto">
              <a:xfrm>
                <a:off x="5594350" y="1836738"/>
                <a:ext cx="274638" cy="1524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35" name="Option Button ⑦２－１" hidden="1">
                <a:extLst>
                  <a:ext uri="{63B3BB69-23CF-44E3-9099-C40C66FF867C}">
                    <a14:compatExt spid="_x0000_s5235"/>
                  </a:ext>
                  <a:ext uri="{FF2B5EF4-FFF2-40B4-BE49-F238E27FC236}">
                    <a16:creationId xmlns:a16="http://schemas.microsoft.com/office/drawing/2014/main" id="{00000000-0008-0000-0000-000073140000}"/>
                  </a:ext>
                </a:extLst>
              </xdr:cNvPr>
              <xdr:cNvSpPr/>
            </xdr:nvSpPr>
            <xdr:spPr bwMode="auto">
              <a:xfrm>
                <a:off x="3544888" y="1808163"/>
                <a:ext cx="290512"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17" name="Group Box ⑦２" hidden="1">
                <a:extLst>
                  <a:ext uri="{63B3BB69-23CF-44E3-9099-C40C66FF867C}">
                    <a14:compatExt spid="_x0000_s5217"/>
                  </a:ext>
                  <a:ext uri="{FF2B5EF4-FFF2-40B4-BE49-F238E27FC236}">
                    <a16:creationId xmlns:a16="http://schemas.microsoft.com/office/drawing/2014/main" id="{00000000-0008-0000-0000-000061140000}"/>
                  </a:ext>
                </a:extLst>
              </xdr:cNvPr>
              <xdr:cNvSpPr/>
            </xdr:nvSpPr>
            <xdr:spPr bwMode="auto">
              <a:xfrm>
                <a:off x="3340111" y="1770052"/>
                <a:ext cx="3222624" cy="247649"/>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33</xdr:col>
          <xdr:colOff>7938</xdr:colOff>
          <xdr:row>6</xdr:row>
          <xdr:rowOff>46038</xdr:rowOff>
        </xdr:from>
        <xdr:to>
          <xdr:col>66</xdr:col>
          <xdr:colOff>73025</xdr:colOff>
          <xdr:row>8</xdr:row>
          <xdr:rowOff>17463</xdr:rowOff>
        </xdr:to>
        <xdr:grpSp>
          <xdr:nvGrpSpPr>
            <xdr:cNvPr id="4" name="グループ化 3">
              <a:extLst>
                <a:ext uri="{FF2B5EF4-FFF2-40B4-BE49-F238E27FC236}">
                  <a16:creationId xmlns:a16="http://schemas.microsoft.com/office/drawing/2014/main" id="{00000000-0008-0000-0100-000004000000}"/>
                </a:ext>
              </a:extLst>
            </xdr:cNvPr>
            <xdr:cNvGrpSpPr/>
          </xdr:nvGrpSpPr>
          <xdr:grpSpPr>
            <a:xfrm>
              <a:off x="3842786" y="1743973"/>
              <a:ext cx="3378130" cy="253033"/>
              <a:chOff x="3340093" y="1531940"/>
              <a:chExt cx="3325814" cy="257175"/>
            </a:xfrm>
          </xdr:grpSpPr>
          <xdr:sp macro="" textlink="">
            <xdr:nvSpPr>
              <xdr:cNvPr id="5234" name="Option Button ⑦１－２" hidden="1">
                <a:extLst>
                  <a:ext uri="{63B3BB69-23CF-44E3-9099-C40C66FF867C}">
                    <a14:compatExt spid="_x0000_s5234"/>
                  </a:ext>
                  <a:ext uri="{FF2B5EF4-FFF2-40B4-BE49-F238E27FC236}">
                    <a16:creationId xmlns:a16="http://schemas.microsoft.com/office/drawing/2014/main" id="{00000000-0008-0000-0000-000072140000}"/>
                  </a:ext>
                </a:extLst>
              </xdr:cNvPr>
              <xdr:cNvSpPr/>
            </xdr:nvSpPr>
            <xdr:spPr bwMode="auto">
              <a:xfrm>
                <a:off x="5594350" y="1617663"/>
                <a:ext cx="200025" cy="1714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33" name="Option Button ⑦１－１" hidden="1">
                <a:extLst>
                  <a:ext uri="{63B3BB69-23CF-44E3-9099-C40C66FF867C}">
                    <a14:compatExt spid="_x0000_s5233"/>
                  </a:ext>
                  <a:ext uri="{FF2B5EF4-FFF2-40B4-BE49-F238E27FC236}">
                    <a16:creationId xmlns:a16="http://schemas.microsoft.com/office/drawing/2014/main" id="{00000000-0008-0000-0000-000071140000}"/>
                  </a:ext>
                </a:extLst>
              </xdr:cNvPr>
              <xdr:cNvSpPr/>
            </xdr:nvSpPr>
            <xdr:spPr bwMode="auto">
              <a:xfrm>
                <a:off x="3544888" y="1627188"/>
                <a:ext cx="203200" cy="1619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16" name="Group Box ⑦１" hidden="1">
                <a:extLst>
                  <a:ext uri="{63B3BB69-23CF-44E3-9099-C40C66FF867C}">
                    <a14:compatExt spid="_x0000_s5216"/>
                  </a:ext>
                  <a:ext uri="{FF2B5EF4-FFF2-40B4-BE49-F238E27FC236}">
                    <a16:creationId xmlns:a16="http://schemas.microsoft.com/office/drawing/2014/main" id="{00000000-0008-0000-0000-000060140000}"/>
                  </a:ext>
                </a:extLst>
              </xdr:cNvPr>
              <xdr:cNvSpPr/>
            </xdr:nvSpPr>
            <xdr:spPr bwMode="auto">
              <a:xfrm>
                <a:off x="3340093" y="1531940"/>
                <a:ext cx="3325814" cy="257175"/>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57</xdr:col>
          <xdr:colOff>60325</xdr:colOff>
          <xdr:row>3</xdr:row>
          <xdr:rowOff>1589</xdr:rowOff>
        </xdr:from>
        <xdr:to>
          <xdr:col>67</xdr:col>
          <xdr:colOff>92075</xdr:colOff>
          <xdr:row>6</xdr:row>
          <xdr:rowOff>9535</xdr:rowOff>
        </xdr:to>
        <xdr:grpSp>
          <xdr:nvGrpSpPr>
            <xdr:cNvPr id="2" name="グループ化 1">
              <a:extLst>
                <a:ext uri="{FF2B5EF4-FFF2-40B4-BE49-F238E27FC236}">
                  <a16:creationId xmlns:a16="http://schemas.microsoft.com/office/drawing/2014/main" id="{00000000-0008-0000-0100-000002000000}"/>
                </a:ext>
              </a:extLst>
            </xdr:cNvPr>
            <xdr:cNvGrpSpPr/>
          </xdr:nvGrpSpPr>
          <xdr:grpSpPr>
            <a:xfrm>
              <a:off x="6081782" y="1036915"/>
              <a:ext cx="1265858" cy="670555"/>
              <a:chOff x="5529275" y="1027112"/>
              <a:chExt cx="1260478" cy="468313"/>
            </a:xfrm>
          </xdr:grpSpPr>
          <xdr:sp macro="" textlink="">
            <xdr:nvSpPr>
              <xdr:cNvPr id="5232" name="Option Button ⑥２" hidden="1">
                <a:extLst>
                  <a:ext uri="{63B3BB69-23CF-44E3-9099-C40C66FF867C}">
                    <a14:compatExt spid="_x0000_s5232"/>
                  </a:ext>
                  <a:ext uri="{FF2B5EF4-FFF2-40B4-BE49-F238E27FC236}">
                    <a16:creationId xmlns:a16="http://schemas.microsoft.com/office/drawing/2014/main" id="{00000000-0008-0000-0000-000070140000}"/>
                  </a:ext>
                </a:extLst>
              </xdr:cNvPr>
              <xdr:cNvSpPr/>
            </xdr:nvSpPr>
            <xdr:spPr bwMode="auto">
              <a:xfrm>
                <a:off x="5589369" y="1273327"/>
                <a:ext cx="206375" cy="2000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45" name="Group Box ⑥" hidden="1">
                <a:extLst>
                  <a:ext uri="{63B3BB69-23CF-44E3-9099-C40C66FF867C}">
                    <a14:compatExt spid="_x0000_s5345"/>
                  </a:ext>
                  <a:ext uri="{FF2B5EF4-FFF2-40B4-BE49-F238E27FC236}">
                    <a16:creationId xmlns:a16="http://schemas.microsoft.com/office/drawing/2014/main" id="{00000000-0008-0000-0000-0000E1140000}"/>
                  </a:ext>
                </a:extLst>
              </xdr:cNvPr>
              <xdr:cNvSpPr/>
            </xdr:nvSpPr>
            <xdr:spPr bwMode="auto">
              <a:xfrm>
                <a:off x="5529275" y="1027112"/>
                <a:ext cx="1260478" cy="468313"/>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19050</xdr:rowOff>
        </xdr:from>
        <xdr:to>
          <xdr:col>12</xdr:col>
          <xdr:colOff>104775</xdr:colOff>
          <xdr:row>5</xdr:row>
          <xdr:rowOff>28575</xdr:rowOff>
        </xdr:to>
        <xdr:sp macro="" textlink="">
          <xdr:nvSpPr>
            <xdr:cNvPr id="5214" name="Group Box ⑤" hidden="1">
              <a:extLst>
                <a:ext uri="{63B3BB69-23CF-44E3-9099-C40C66FF867C}">
                  <a14:compatExt spid="_x0000_s5214"/>
                </a:ext>
                <a:ext uri="{FF2B5EF4-FFF2-40B4-BE49-F238E27FC236}">
                  <a16:creationId xmlns:a16="http://schemas.microsoft.com/office/drawing/2014/main" id="{00000000-0008-0000-0000-00005E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62</xdr:col>
          <xdr:colOff>47625</xdr:colOff>
          <xdr:row>2</xdr:row>
          <xdr:rowOff>47625</xdr:rowOff>
        </xdr:from>
        <xdr:to>
          <xdr:col>65</xdr:col>
          <xdr:colOff>0</xdr:colOff>
          <xdr:row>2</xdr:row>
          <xdr:rowOff>295275</xdr:rowOff>
        </xdr:to>
        <xdr:sp macro="" textlink="">
          <xdr:nvSpPr>
            <xdr:cNvPr id="5257" name="Option Button ④－２" hidden="1">
              <a:extLst>
                <a:ext uri="{63B3BB69-23CF-44E3-9099-C40C66FF867C}">
                  <a14:compatExt spid="_x0000_s5257"/>
                </a:ext>
                <a:ext uri="{FF2B5EF4-FFF2-40B4-BE49-F238E27FC236}">
                  <a16:creationId xmlns:a16="http://schemas.microsoft.com/office/drawing/2014/main" id="{00000000-0008-0000-0000-00008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58</xdr:col>
          <xdr:colOff>0</xdr:colOff>
          <xdr:row>2</xdr:row>
          <xdr:rowOff>47625</xdr:rowOff>
        </xdr:from>
        <xdr:to>
          <xdr:col>60</xdr:col>
          <xdr:colOff>95250</xdr:colOff>
          <xdr:row>2</xdr:row>
          <xdr:rowOff>295275</xdr:rowOff>
        </xdr:to>
        <xdr:sp macro="" textlink="">
          <xdr:nvSpPr>
            <xdr:cNvPr id="5256" name="Option Button ④－１" hidden="1">
              <a:extLst>
                <a:ext uri="{63B3BB69-23CF-44E3-9099-C40C66FF867C}">
                  <a14:compatExt spid="_x0000_s5256"/>
                </a:ext>
                <a:ext uri="{FF2B5EF4-FFF2-40B4-BE49-F238E27FC236}">
                  <a16:creationId xmlns:a16="http://schemas.microsoft.com/office/drawing/2014/main" id="{00000000-0008-0000-0000-00008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19050</xdr:colOff>
          <xdr:row>2</xdr:row>
          <xdr:rowOff>9525</xdr:rowOff>
        </xdr:from>
        <xdr:to>
          <xdr:col>67</xdr:col>
          <xdr:colOff>9525</xdr:colOff>
          <xdr:row>2</xdr:row>
          <xdr:rowOff>333375</xdr:rowOff>
        </xdr:to>
        <xdr:sp macro="" textlink="">
          <xdr:nvSpPr>
            <xdr:cNvPr id="5255" name="Group Box ④" hidden="1">
              <a:extLst>
                <a:ext uri="{63B3BB69-23CF-44E3-9099-C40C66FF867C}">
                  <a14:compatExt spid="_x0000_s5255"/>
                </a:ext>
                <a:ext uri="{FF2B5EF4-FFF2-40B4-BE49-F238E27FC236}">
                  <a16:creationId xmlns:a16="http://schemas.microsoft.com/office/drawing/2014/main" id="{00000000-0008-0000-0000-000087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85725</xdr:colOff>
          <xdr:row>2</xdr:row>
          <xdr:rowOff>95250</xdr:rowOff>
        </xdr:from>
        <xdr:to>
          <xdr:col>26</xdr:col>
          <xdr:colOff>38100</xdr:colOff>
          <xdr:row>2</xdr:row>
          <xdr:rowOff>247650</xdr:rowOff>
        </xdr:to>
        <xdr:sp macro="" textlink="">
          <xdr:nvSpPr>
            <xdr:cNvPr id="5227" name="Option Button ③２" hidden="1">
              <a:extLst>
                <a:ext uri="{63B3BB69-23CF-44E3-9099-C40C66FF867C}">
                  <a14:compatExt spid="_x0000_s5227"/>
                </a:ext>
                <a:ext uri="{FF2B5EF4-FFF2-40B4-BE49-F238E27FC236}">
                  <a16:creationId xmlns:a16="http://schemas.microsoft.com/office/drawing/2014/main" id="{00000000-0008-0000-0000-00006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47625</xdr:colOff>
          <xdr:row>2</xdr:row>
          <xdr:rowOff>104775</xdr:rowOff>
        </xdr:from>
        <xdr:to>
          <xdr:col>21</xdr:col>
          <xdr:colOff>85725</xdr:colOff>
          <xdr:row>2</xdr:row>
          <xdr:rowOff>257175</xdr:rowOff>
        </xdr:to>
        <xdr:sp macro="" textlink="">
          <xdr:nvSpPr>
            <xdr:cNvPr id="5226" name="Option Button ③１" hidden="1">
              <a:extLst>
                <a:ext uri="{63B3BB69-23CF-44E3-9099-C40C66FF867C}">
                  <a14:compatExt spid="_x0000_s5226"/>
                </a:ext>
                <a:ext uri="{FF2B5EF4-FFF2-40B4-BE49-F238E27FC236}">
                  <a16:creationId xmlns:a16="http://schemas.microsoft.com/office/drawing/2014/main" id="{00000000-0008-0000-0000-00006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28575</xdr:colOff>
          <xdr:row>1</xdr:row>
          <xdr:rowOff>371475</xdr:rowOff>
        </xdr:from>
        <xdr:to>
          <xdr:col>26</xdr:col>
          <xdr:colOff>57150</xdr:colOff>
          <xdr:row>3</xdr:row>
          <xdr:rowOff>0</xdr:rowOff>
        </xdr:to>
        <xdr:sp macro="" textlink="">
          <xdr:nvSpPr>
            <xdr:cNvPr id="5213" name="Group Box ③" hidden="1">
              <a:extLst>
                <a:ext uri="{63B3BB69-23CF-44E3-9099-C40C66FF867C}">
                  <a14:compatExt spid="_x0000_s5213"/>
                </a:ext>
                <a:ext uri="{FF2B5EF4-FFF2-40B4-BE49-F238E27FC236}">
                  <a16:creationId xmlns:a16="http://schemas.microsoft.com/office/drawing/2014/main" id="{00000000-0008-0000-0000-00005D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12</xdr:row>
          <xdr:rowOff>0</xdr:rowOff>
        </xdr:from>
        <xdr:to>
          <xdr:col>29</xdr:col>
          <xdr:colOff>57150</xdr:colOff>
          <xdr:row>14</xdr:row>
          <xdr:rowOff>114300</xdr:rowOff>
        </xdr:to>
        <xdr:sp macro="" textlink="">
          <xdr:nvSpPr>
            <xdr:cNvPr id="5291" name="Group Box ⑩" hidden="1">
              <a:extLst>
                <a:ext uri="{63B3BB69-23CF-44E3-9099-C40C66FF867C}">
                  <a14:compatExt spid="_x0000_s5291"/>
                </a:ext>
                <a:ext uri="{FF2B5EF4-FFF2-40B4-BE49-F238E27FC236}">
                  <a16:creationId xmlns:a16="http://schemas.microsoft.com/office/drawing/2014/main" id="{00000000-0008-0000-0000-0000AB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16</xdr:row>
          <xdr:rowOff>133350</xdr:rowOff>
        </xdr:from>
        <xdr:to>
          <xdr:col>22</xdr:col>
          <xdr:colOff>38100</xdr:colOff>
          <xdr:row>20</xdr:row>
          <xdr:rowOff>47625</xdr:rowOff>
        </xdr:to>
        <xdr:sp macro="" textlink="">
          <xdr:nvSpPr>
            <xdr:cNvPr id="5295" name="Group Box 175" hidden="1">
              <a:extLst>
                <a:ext uri="{63B3BB69-23CF-44E3-9099-C40C66FF867C}">
                  <a14:compatExt spid="_x0000_s5295"/>
                </a:ext>
                <a:ext uri="{FF2B5EF4-FFF2-40B4-BE49-F238E27FC236}">
                  <a16:creationId xmlns:a16="http://schemas.microsoft.com/office/drawing/2014/main" id="{00000000-0008-0000-0000-0000AF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28575</xdr:colOff>
          <xdr:row>16</xdr:row>
          <xdr:rowOff>0</xdr:rowOff>
        </xdr:from>
        <xdr:to>
          <xdr:col>58</xdr:col>
          <xdr:colOff>95250</xdr:colOff>
          <xdr:row>20</xdr:row>
          <xdr:rowOff>57150</xdr:rowOff>
        </xdr:to>
        <xdr:sp macro="" textlink="">
          <xdr:nvSpPr>
            <xdr:cNvPr id="5297" name="Group Box 177" hidden="1">
              <a:extLst>
                <a:ext uri="{63B3BB69-23CF-44E3-9099-C40C66FF867C}">
                  <a14:compatExt spid="_x0000_s5297"/>
                </a:ext>
                <a:ext uri="{FF2B5EF4-FFF2-40B4-BE49-F238E27FC236}">
                  <a16:creationId xmlns:a16="http://schemas.microsoft.com/office/drawing/2014/main" id="{00000000-0008-0000-0000-0000B1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55</xdr:col>
          <xdr:colOff>0</xdr:colOff>
          <xdr:row>16</xdr:row>
          <xdr:rowOff>104775</xdr:rowOff>
        </xdr:from>
        <xdr:to>
          <xdr:col>58</xdr:col>
          <xdr:colOff>85725</xdr:colOff>
          <xdr:row>20</xdr:row>
          <xdr:rowOff>57150</xdr:rowOff>
        </xdr:to>
        <xdr:sp macro="" textlink="">
          <xdr:nvSpPr>
            <xdr:cNvPr id="5300" name="Group Box ⑩A１" hidden="1">
              <a:extLst>
                <a:ext uri="{63B3BB69-23CF-44E3-9099-C40C66FF867C}">
                  <a14:compatExt spid="_x0000_s5300"/>
                </a:ext>
                <a:ext uri="{FF2B5EF4-FFF2-40B4-BE49-F238E27FC236}">
                  <a16:creationId xmlns:a16="http://schemas.microsoft.com/office/drawing/2014/main" id="{00000000-0008-0000-0000-0000B4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54</xdr:col>
          <xdr:colOff>28575</xdr:colOff>
          <xdr:row>16</xdr:row>
          <xdr:rowOff>133350</xdr:rowOff>
        </xdr:from>
        <xdr:to>
          <xdr:col>66</xdr:col>
          <xdr:colOff>9525</xdr:colOff>
          <xdr:row>20</xdr:row>
          <xdr:rowOff>47625</xdr:rowOff>
        </xdr:to>
        <xdr:sp macro="" textlink="">
          <xdr:nvSpPr>
            <xdr:cNvPr id="5301" name="Group Box 181" hidden="1">
              <a:extLst>
                <a:ext uri="{63B3BB69-23CF-44E3-9099-C40C66FF867C}">
                  <a14:compatExt spid="_x0000_s5301"/>
                </a:ext>
                <a:ext uri="{FF2B5EF4-FFF2-40B4-BE49-F238E27FC236}">
                  <a16:creationId xmlns:a16="http://schemas.microsoft.com/office/drawing/2014/main" id="{00000000-0008-0000-0000-0000B5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0</xdr:colOff>
          <xdr:row>16</xdr:row>
          <xdr:rowOff>104775</xdr:rowOff>
        </xdr:from>
        <xdr:to>
          <xdr:col>52</xdr:col>
          <xdr:colOff>0</xdr:colOff>
          <xdr:row>20</xdr:row>
          <xdr:rowOff>57150</xdr:rowOff>
        </xdr:to>
        <xdr:sp macro="" textlink="">
          <xdr:nvSpPr>
            <xdr:cNvPr id="5302" name="Group Box ⑩A１" hidden="1">
              <a:extLst>
                <a:ext uri="{63B3BB69-23CF-44E3-9099-C40C66FF867C}">
                  <a14:compatExt spid="_x0000_s5302"/>
                </a:ext>
                <a:ext uri="{FF2B5EF4-FFF2-40B4-BE49-F238E27FC236}">
                  <a16:creationId xmlns:a16="http://schemas.microsoft.com/office/drawing/2014/main" id="{00000000-0008-0000-0000-0000B6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28575</xdr:colOff>
          <xdr:row>16</xdr:row>
          <xdr:rowOff>133350</xdr:rowOff>
        </xdr:from>
        <xdr:to>
          <xdr:col>60</xdr:col>
          <xdr:colOff>95250</xdr:colOff>
          <xdr:row>20</xdr:row>
          <xdr:rowOff>47625</xdr:rowOff>
        </xdr:to>
        <xdr:sp macro="" textlink="">
          <xdr:nvSpPr>
            <xdr:cNvPr id="5303" name="Group Box 183" hidden="1">
              <a:extLst>
                <a:ext uri="{63B3BB69-23CF-44E3-9099-C40C66FF867C}">
                  <a14:compatExt spid="_x0000_s5303"/>
                </a:ext>
                <a:ext uri="{FF2B5EF4-FFF2-40B4-BE49-F238E27FC236}">
                  <a16:creationId xmlns:a16="http://schemas.microsoft.com/office/drawing/2014/main" id="{00000000-0008-0000-0000-0000B7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24</xdr:row>
          <xdr:rowOff>104775</xdr:rowOff>
        </xdr:from>
        <xdr:to>
          <xdr:col>16</xdr:col>
          <xdr:colOff>76200</xdr:colOff>
          <xdr:row>28</xdr:row>
          <xdr:rowOff>57150</xdr:rowOff>
        </xdr:to>
        <xdr:sp macro="" textlink="">
          <xdr:nvSpPr>
            <xdr:cNvPr id="5304" name="Group Box ⑩A１" hidden="1">
              <a:extLst>
                <a:ext uri="{63B3BB69-23CF-44E3-9099-C40C66FF867C}">
                  <a14:compatExt spid="_x0000_s5304"/>
                </a:ext>
                <a:ext uri="{FF2B5EF4-FFF2-40B4-BE49-F238E27FC236}">
                  <a16:creationId xmlns:a16="http://schemas.microsoft.com/office/drawing/2014/main" id="{00000000-0008-0000-0000-0000B8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24</xdr:row>
          <xdr:rowOff>133350</xdr:rowOff>
        </xdr:from>
        <xdr:to>
          <xdr:col>22</xdr:col>
          <xdr:colOff>38100</xdr:colOff>
          <xdr:row>28</xdr:row>
          <xdr:rowOff>47625</xdr:rowOff>
        </xdr:to>
        <xdr:sp macro="" textlink="">
          <xdr:nvSpPr>
            <xdr:cNvPr id="5305" name="Group Box 185" hidden="1">
              <a:extLst>
                <a:ext uri="{63B3BB69-23CF-44E3-9099-C40C66FF867C}">
                  <a14:compatExt spid="_x0000_s5305"/>
                </a:ext>
                <a:ext uri="{FF2B5EF4-FFF2-40B4-BE49-F238E27FC236}">
                  <a16:creationId xmlns:a16="http://schemas.microsoft.com/office/drawing/2014/main" id="{00000000-0008-0000-0000-0000B9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46</xdr:col>
          <xdr:colOff>47625</xdr:colOff>
          <xdr:row>24</xdr:row>
          <xdr:rowOff>123825</xdr:rowOff>
        </xdr:from>
        <xdr:to>
          <xdr:col>49</xdr:col>
          <xdr:colOff>57150</xdr:colOff>
          <xdr:row>28</xdr:row>
          <xdr:rowOff>85725</xdr:rowOff>
        </xdr:to>
        <xdr:sp macro="" textlink="">
          <xdr:nvSpPr>
            <xdr:cNvPr id="5306" name="Group Box ⑩A２" hidden="1">
              <a:extLst>
                <a:ext uri="{63B3BB69-23CF-44E3-9099-C40C66FF867C}">
                  <a14:compatExt spid="_x0000_s5306"/>
                </a:ext>
                <a:ext uri="{FF2B5EF4-FFF2-40B4-BE49-F238E27FC236}">
                  <a16:creationId xmlns:a16="http://schemas.microsoft.com/office/drawing/2014/main" id="{00000000-0008-0000-0000-0000BA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0</xdr:colOff>
          <xdr:row>24</xdr:row>
          <xdr:rowOff>104775</xdr:rowOff>
        </xdr:from>
        <xdr:to>
          <xdr:col>52</xdr:col>
          <xdr:colOff>0</xdr:colOff>
          <xdr:row>28</xdr:row>
          <xdr:rowOff>57150</xdr:rowOff>
        </xdr:to>
        <xdr:sp macro="" textlink="">
          <xdr:nvSpPr>
            <xdr:cNvPr id="5307" name="Group Box 187" hidden="1">
              <a:extLst>
                <a:ext uri="{63B3BB69-23CF-44E3-9099-C40C66FF867C}">
                  <a14:compatExt spid="_x0000_s5307"/>
                </a:ext>
                <a:ext uri="{FF2B5EF4-FFF2-40B4-BE49-F238E27FC236}">
                  <a16:creationId xmlns:a16="http://schemas.microsoft.com/office/drawing/2014/main" id="{00000000-0008-0000-0000-0000BB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28575</xdr:colOff>
          <xdr:row>24</xdr:row>
          <xdr:rowOff>133350</xdr:rowOff>
        </xdr:from>
        <xdr:to>
          <xdr:col>60</xdr:col>
          <xdr:colOff>95250</xdr:colOff>
          <xdr:row>28</xdr:row>
          <xdr:rowOff>47625</xdr:rowOff>
        </xdr:to>
        <xdr:sp macro="" textlink="">
          <xdr:nvSpPr>
            <xdr:cNvPr id="5308" name="Group Box 188" hidden="1">
              <a:extLst>
                <a:ext uri="{63B3BB69-23CF-44E3-9099-C40C66FF867C}">
                  <a14:compatExt spid="_x0000_s5308"/>
                </a:ext>
                <a:ext uri="{FF2B5EF4-FFF2-40B4-BE49-F238E27FC236}">
                  <a16:creationId xmlns:a16="http://schemas.microsoft.com/office/drawing/2014/main" id="{00000000-0008-0000-0000-0000BC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47625</xdr:colOff>
          <xdr:row>32</xdr:row>
          <xdr:rowOff>123825</xdr:rowOff>
        </xdr:from>
        <xdr:to>
          <xdr:col>6</xdr:col>
          <xdr:colOff>47625</xdr:colOff>
          <xdr:row>36</xdr:row>
          <xdr:rowOff>85725</xdr:rowOff>
        </xdr:to>
        <xdr:sp macro="" textlink="">
          <xdr:nvSpPr>
            <xdr:cNvPr id="5314" name="Group Box ⑩A２" hidden="1">
              <a:extLst>
                <a:ext uri="{63B3BB69-23CF-44E3-9099-C40C66FF867C}">
                  <a14:compatExt spid="_x0000_s5314"/>
                </a:ext>
                <a:ext uri="{FF2B5EF4-FFF2-40B4-BE49-F238E27FC236}">
                  <a16:creationId xmlns:a16="http://schemas.microsoft.com/office/drawing/2014/main" id="{00000000-0008-0000-0000-0000C2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32</xdr:row>
          <xdr:rowOff>104775</xdr:rowOff>
        </xdr:from>
        <xdr:to>
          <xdr:col>8</xdr:col>
          <xdr:colOff>0</xdr:colOff>
          <xdr:row>36</xdr:row>
          <xdr:rowOff>57150</xdr:rowOff>
        </xdr:to>
        <xdr:sp macro="" textlink="">
          <xdr:nvSpPr>
            <xdr:cNvPr id="5315" name="Group Box 195" hidden="1">
              <a:extLst>
                <a:ext uri="{63B3BB69-23CF-44E3-9099-C40C66FF867C}">
                  <a14:compatExt spid="_x0000_s5315"/>
                </a:ext>
                <a:ext uri="{FF2B5EF4-FFF2-40B4-BE49-F238E27FC236}">
                  <a16:creationId xmlns:a16="http://schemas.microsoft.com/office/drawing/2014/main" id="{00000000-0008-0000-0000-0000C3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47625</xdr:colOff>
          <xdr:row>32</xdr:row>
          <xdr:rowOff>123825</xdr:rowOff>
        </xdr:from>
        <xdr:to>
          <xdr:col>46</xdr:col>
          <xdr:colOff>47625</xdr:colOff>
          <xdr:row>36</xdr:row>
          <xdr:rowOff>85725</xdr:rowOff>
        </xdr:to>
        <xdr:sp macro="" textlink="">
          <xdr:nvSpPr>
            <xdr:cNvPr id="5316" name="Group Box 196" hidden="1">
              <a:extLst>
                <a:ext uri="{63B3BB69-23CF-44E3-9099-C40C66FF867C}">
                  <a14:compatExt spid="_x0000_s5316"/>
                </a:ext>
                <a:ext uri="{FF2B5EF4-FFF2-40B4-BE49-F238E27FC236}">
                  <a16:creationId xmlns:a16="http://schemas.microsoft.com/office/drawing/2014/main" id="{00000000-0008-0000-0000-0000C4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85725</xdr:colOff>
          <xdr:row>32</xdr:row>
          <xdr:rowOff>104775</xdr:rowOff>
        </xdr:from>
        <xdr:to>
          <xdr:col>48</xdr:col>
          <xdr:colOff>0</xdr:colOff>
          <xdr:row>36</xdr:row>
          <xdr:rowOff>57150</xdr:rowOff>
        </xdr:to>
        <xdr:sp macro="" textlink="">
          <xdr:nvSpPr>
            <xdr:cNvPr id="5317" name="Group Box 197" hidden="1">
              <a:extLst>
                <a:ext uri="{63B3BB69-23CF-44E3-9099-C40C66FF867C}">
                  <a14:compatExt spid="_x0000_s5317"/>
                </a:ext>
                <a:ext uri="{FF2B5EF4-FFF2-40B4-BE49-F238E27FC236}">
                  <a16:creationId xmlns:a16="http://schemas.microsoft.com/office/drawing/2014/main" id="{00000000-0008-0000-0000-0000C5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76200</xdr:colOff>
          <xdr:row>8</xdr:row>
          <xdr:rowOff>28575</xdr:rowOff>
        </xdr:from>
        <xdr:to>
          <xdr:col>65</xdr:col>
          <xdr:colOff>57150</xdr:colOff>
          <xdr:row>9</xdr:row>
          <xdr:rowOff>28575</xdr:rowOff>
        </xdr:to>
        <xdr:sp macro="" textlink="">
          <xdr:nvSpPr>
            <xdr:cNvPr id="5325" name="Group Box ⑦２" hidden="1">
              <a:extLst>
                <a:ext uri="{63B3BB69-23CF-44E3-9099-C40C66FF867C}">
                  <a14:compatExt spid="_x0000_s5325"/>
                </a:ext>
                <a:ext uri="{FF2B5EF4-FFF2-40B4-BE49-F238E27FC236}">
                  <a16:creationId xmlns:a16="http://schemas.microsoft.com/office/drawing/2014/main" id="{00000000-0008-0000-0000-0000CD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57150</xdr:colOff>
          <xdr:row>11</xdr:row>
          <xdr:rowOff>47625</xdr:rowOff>
        </xdr:from>
        <xdr:to>
          <xdr:col>59</xdr:col>
          <xdr:colOff>76200</xdr:colOff>
          <xdr:row>11</xdr:row>
          <xdr:rowOff>200025</xdr:rowOff>
        </xdr:to>
        <xdr:sp macro="" textlink="">
          <xdr:nvSpPr>
            <xdr:cNvPr id="5326" name="Option Button ⑦４－２" hidden="1">
              <a:extLst>
                <a:ext uri="{63B3BB69-23CF-44E3-9099-C40C66FF867C}">
                  <a14:compatExt spid="_x0000_s5326"/>
                </a:ext>
                <a:ext uri="{FF2B5EF4-FFF2-40B4-BE49-F238E27FC236}">
                  <a16:creationId xmlns:a16="http://schemas.microsoft.com/office/drawing/2014/main" id="{00000000-0008-0000-0000-0000C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9525</xdr:colOff>
          <xdr:row>11</xdr:row>
          <xdr:rowOff>38100</xdr:rowOff>
        </xdr:from>
        <xdr:to>
          <xdr:col>38</xdr:col>
          <xdr:colOff>19050</xdr:colOff>
          <xdr:row>11</xdr:row>
          <xdr:rowOff>219075</xdr:rowOff>
        </xdr:to>
        <xdr:sp macro="" textlink="">
          <xdr:nvSpPr>
            <xdr:cNvPr id="5327" name="Option Button ⑦４－１" hidden="1">
              <a:extLst>
                <a:ext uri="{63B3BB69-23CF-44E3-9099-C40C66FF867C}">
                  <a14:compatExt spid="_x0000_s5327"/>
                </a:ext>
                <a:ext uri="{FF2B5EF4-FFF2-40B4-BE49-F238E27FC236}">
                  <a16:creationId xmlns:a16="http://schemas.microsoft.com/office/drawing/2014/main" id="{00000000-0008-0000-0000-0000C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76200</xdr:colOff>
          <xdr:row>11</xdr:row>
          <xdr:rowOff>19050</xdr:rowOff>
        </xdr:from>
        <xdr:to>
          <xdr:col>66</xdr:col>
          <xdr:colOff>47625</xdr:colOff>
          <xdr:row>12</xdr:row>
          <xdr:rowOff>9525</xdr:rowOff>
        </xdr:to>
        <xdr:sp macro="" textlink="">
          <xdr:nvSpPr>
            <xdr:cNvPr id="5328" name="Group Box ⑦４" hidden="1">
              <a:extLst>
                <a:ext uri="{63B3BB69-23CF-44E3-9099-C40C66FF867C}">
                  <a14:compatExt spid="_x0000_s5328"/>
                </a:ext>
                <a:ext uri="{FF2B5EF4-FFF2-40B4-BE49-F238E27FC236}">
                  <a16:creationId xmlns:a16="http://schemas.microsoft.com/office/drawing/2014/main" id="{00000000-0008-0000-0000-0000D0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twoCellAnchor>
    <xdr:from>
      <xdr:col>33</xdr:col>
      <xdr:colOff>76200</xdr:colOff>
      <xdr:row>9</xdr:row>
      <xdr:rowOff>39688</xdr:rowOff>
    </xdr:from>
    <xdr:to>
      <xdr:col>66</xdr:col>
      <xdr:colOff>95250</xdr:colOff>
      <xdr:row>11</xdr:row>
      <xdr:rowOff>38101</xdr:rowOff>
    </xdr:to>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3911048" y="2275992"/>
          <a:ext cx="3332093" cy="313152"/>
          <a:chOff x="3417888" y="2063751"/>
          <a:chExt cx="3305175" cy="315913"/>
        </a:xfrm>
      </xdr:grpSpPr>
      <xdr:sp macro="" textlink="">
        <xdr:nvSpPr>
          <xdr:cNvPr id="5338" name="Option Button ⑦３－２" hidden="1">
            <a:extLst>
              <a:ext uri="{63B3BB69-23CF-44E3-9099-C40C66FF867C}">
                <a14:compatExt xmlns:a14="http://schemas.microsoft.com/office/drawing/2010/main" spid="_x0000_s5338"/>
              </a:ext>
              <a:ext uri="{FF2B5EF4-FFF2-40B4-BE49-F238E27FC236}">
                <a16:creationId xmlns:a16="http://schemas.microsoft.com/office/drawing/2014/main" id="{00000000-0008-0000-0100-0000DA140000}"/>
              </a:ext>
            </a:extLst>
          </xdr:cNvPr>
          <xdr:cNvSpPr/>
        </xdr:nvSpPr>
        <xdr:spPr bwMode="auto">
          <a:xfrm>
            <a:off x="3532188" y="2151062"/>
            <a:ext cx="261938" cy="2143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5339" name="Option Button ⑦３－１" hidden="1">
            <a:extLst>
              <a:ext uri="{63B3BB69-23CF-44E3-9099-C40C66FF867C}">
                <a14:compatExt xmlns:a14="http://schemas.microsoft.com/office/drawing/2010/main" spid="_x0000_s5339"/>
              </a:ext>
              <a:ext uri="{FF2B5EF4-FFF2-40B4-BE49-F238E27FC236}">
                <a16:creationId xmlns:a16="http://schemas.microsoft.com/office/drawing/2014/main" id="{00000000-0008-0000-0100-0000DB140000}"/>
              </a:ext>
            </a:extLst>
          </xdr:cNvPr>
          <xdr:cNvSpPr/>
        </xdr:nvSpPr>
        <xdr:spPr bwMode="auto">
          <a:xfrm>
            <a:off x="5553077" y="2143126"/>
            <a:ext cx="233362" cy="2365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sp macro="" textlink="">
        <xdr:nvSpPr>
          <xdr:cNvPr id="5343" name="Group Box ⑦３" hidden="1">
            <a:extLst>
              <a:ext uri="{63B3BB69-23CF-44E3-9099-C40C66FF867C}">
                <a14:compatExt xmlns:a14="http://schemas.microsoft.com/office/drawing/2010/main" spid="_x0000_s5343"/>
              </a:ext>
              <a:ext uri="{FF2B5EF4-FFF2-40B4-BE49-F238E27FC236}">
                <a16:creationId xmlns:a16="http://schemas.microsoft.com/office/drawing/2014/main" id="{00000000-0008-0000-0100-0000DF140000}"/>
              </a:ext>
            </a:extLst>
          </xdr:cNvPr>
          <xdr:cNvSpPr/>
        </xdr:nvSpPr>
        <xdr:spPr bwMode="auto">
          <a:xfrm>
            <a:off x="3417888" y="2063751"/>
            <a:ext cx="3305175" cy="288925"/>
          </a:xfrm>
          <a:prstGeom prst="rect">
            <a:avLst/>
          </a:prstGeom>
          <a:noFill/>
          <a:ln w="9525">
            <a:miter lim="800000"/>
            <a:headEnd/>
            <a:tailEnd/>
          </a:ln>
          <a:extLst>
            <a:ext uri="{909E8E84-426E-40DD-AFC4-6F175D3DCCD1}">
              <a14:hiddenFill xmlns:a14="http://schemas.microsoft.com/office/drawing/2010/main">
                <a:noFill/>
              </a14:hiddenFill>
            </a:ext>
          </a:extLst>
        </xdr:spPr>
      </xdr:sp>
    </xdr:grpSp>
    <xdr:clientData/>
  </xdr:twoCellAnchor>
  <mc:AlternateContent xmlns:mc="http://schemas.openxmlformats.org/markup-compatibility/2006">
    <mc:Choice xmlns:a14="http://schemas.microsoft.com/office/drawing/2010/main" Requires="a14">
      <xdr:twoCellAnchor>
        <xdr:from>
          <xdr:col>33</xdr:col>
          <xdr:colOff>93663</xdr:colOff>
          <xdr:row>9</xdr:row>
          <xdr:rowOff>33338</xdr:rowOff>
        </xdr:from>
        <xdr:to>
          <xdr:col>67</xdr:col>
          <xdr:colOff>25400</xdr:colOff>
          <xdr:row>11</xdr:row>
          <xdr:rowOff>36513</xdr:rowOff>
        </xdr:to>
        <xdr:grpSp>
          <xdr:nvGrpSpPr>
            <xdr:cNvPr id="5367" name="Group 247">
              <a:extLst>
                <a:ext uri="{FF2B5EF4-FFF2-40B4-BE49-F238E27FC236}">
                  <a16:creationId xmlns:a16="http://schemas.microsoft.com/office/drawing/2014/main" id="{00000000-0008-0000-0100-0000F7140000}"/>
                </a:ext>
              </a:extLst>
            </xdr:cNvPr>
            <xdr:cNvGrpSpPr>
              <a:grpSpLocks/>
            </xdr:cNvGrpSpPr>
          </xdr:nvGrpSpPr>
          <xdr:grpSpPr bwMode="auto">
            <a:xfrm>
              <a:off x="3928511" y="2269642"/>
              <a:ext cx="3352454" cy="317914"/>
              <a:chOff x="34178" y="20637"/>
              <a:chExt cx="33052" cy="3159"/>
            </a:xfrm>
          </xdr:grpSpPr>
          <xdr:sp macro="" textlink="">
            <xdr:nvSpPr>
              <xdr:cNvPr id="3" name="Option Button ⑦３－２" hidden="1">
                <a:extLst>
                  <a:ext uri="{63B3BB69-23CF-44E3-9099-C40C66FF867C}">
                    <a14:compatExt spid="_x0000_s5338"/>
                  </a:ext>
                  <a:ext uri="{FF2B5EF4-FFF2-40B4-BE49-F238E27FC236}">
                    <a16:creationId xmlns:a16="http://schemas.microsoft.com/office/drawing/2014/main" id="{00000000-0008-0000-0000-000003000000}"/>
                  </a:ext>
                </a:extLst>
              </xdr:cNvPr>
              <xdr:cNvSpPr/>
            </xdr:nvSpPr>
            <xdr:spPr bwMode="auto">
              <a:xfrm>
                <a:off x="35321" y="21510"/>
                <a:ext cx="2620" cy="214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 name="Option Button ⑦３－１" hidden="1">
                <a:extLst>
                  <a:ext uri="{63B3BB69-23CF-44E3-9099-C40C66FF867C}">
                    <a14:compatExt spid="_x0000_s5339"/>
                  </a:ext>
                  <a:ext uri="{FF2B5EF4-FFF2-40B4-BE49-F238E27FC236}">
                    <a16:creationId xmlns:a16="http://schemas.microsoft.com/office/drawing/2014/main" id="{00000000-0008-0000-0000-000005000000}"/>
                  </a:ext>
                </a:extLst>
              </xdr:cNvPr>
              <xdr:cNvSpPr/>
            </xdr:nvSpPr>
            <xdr:spPr bwMode="auto">
              <a:xfrm>
                <a:off x="55530" y="21431"/>
                <a:ext cx="2334" cy="236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8" name="Group Box ⑦３" hidden="1">
                <a:extLst>
                  <a:ext uri="{63B3BB69-23CF-44E3-9099-C40C66FF867C}">
                    <a14:compatExt spid="_x0000_s5343"/>
                  </a:ext>
                  <a:ext uri="{FF2B5EF4-FFF2-40B4-BE49-F238E27FC236}">
                    <a16:creationId xmlns:a16="http://schemas.microsoft.com/office/drawing/2014/main" id="{00000000-0008-0000-0000-000008000000}"/>
                  </a:ext>
                </a:extLst>
              </xdr:cNvPr>
              <xdr:cNvSpPr/>
            </xdr:nvSpPr>
            <xdr:spPr bwMode="auto">
              <a:xfrm>
                <a:off x="34178" y="20637"/>
                <a:ext cx="33052" cy="2889"/>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58</xdr:col>
          <xdr:colOff>28575</xdr:colOff>
          <xdr:row>3</xdr:row>
          <xdr:rowOff>28575</xdr:rowOff>
        </xdr:from>
        <xdr:to>
          <xdr:col>60</xdr:col>
          <xdr:colOff>28575</xdr:colOff>
          <xdr:row>4</xdr:row>
          <xdr:rowOff>104775</xdr:rowOff>
        </xdr:to>
        <xdr:sp macro="" textlink="">
          <xdr:nvSpPr>
            <xdr:cNvPr id="5347" name="Option Button ⑥２" hidden="1">
              <a:extLst>
                <a:ext uri="{63B3BB69-23CF-44E3-9099-C40C66FF867C}">
                  <a14:compatExt spid="_x0000_s5347"/>
                </a:ext>
                <a:ext uri="{FF2B5EF4-FFF2-40B4-BE49-F238E27FC236}">
                  <a16:creationId xmlns:a16="http://schemas.microsoft.com/office/drawing/2014/main" id="{00000000-0008-0000-0000-0000E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10" Target="../ctrlProps/ctrlProp7.xml" Type="http://schemas.openxmlformats.org/officeDocument/2006/relationships/ctrlProp"/><Relationship Id="rId11" Target="../ctrlProps/ctrlProp8.xml" Type="http://schemas.openxmlformats.org/officeDocument/2006/relationships/ctrlProp"/><Relationship Id="rId12" Target="../ctrlProps/ctrlProp9.xml" Type="http://schemas.openxmlformats.org/officeDocument/2006/relationships/ctrlProp"/><Relationship Id="rId13" Target="../ctrlProps/ctrlProp10.xml" Type="http://schemas.openxmlformats.org/officeDocument/2006/relationships/ctrlProp"/><Relationship Id="rId14" Target="../ctrlProps/ctrlProp11.xml" Type="http://schemas.openxmlformats.org/officeDocument/2006/relationships/ctrlProp"/><Relationship Id="rId15" Target="../ctrlProps/ctrlProp12.xml" Type="http://schemas.openxmlformats.org/officeDocument/2006/relationships/ctrlProp"/><Relationship Id="rId16" Target="../ctrlProps/ctrlProp13.xml" Type="http://schemas.openxmlformats.org/officeDocument/2006/relationships/ctrlProp"/><Relationship Id="rId17" Target="../ctrlProps/ctrlProp14.xml" Type="http://schemas.openxmlformats.org/officeDocument/2006/relationships/ctrlProp"/><Relationship Id="rId18" Target="../ctrlProps/ctrlProp15.xml" Type="http://schemas.openxmlformats.org/officeDocument/2006/relationships/ctrlProp"/><Relationship Id="rId19" Target="../ctrlProps/ctrlProp16.xml" Type="http://schemas.openxmlformats.org/officeDocument/2006/relationships/ctrlProp"/><Relationship Id="rId2" Target="../drawings/drawing1.xml" Type="http://schemas.openxmlformats.org/officeDocument/2006/relationships/drawing"/><Relationship Id="rId20" Target="../ctrlProps/ctrlProp17.xml" Type="http://schemas.openxmlformats.org/officeDocument/2006/relationships/ctrlProp"/><Relationship Id="rId21" Target="../ctrlProps/ctrlProp18.xml" Type="http://schemas.openxmlformats.org/officeDocument/2006/relationships/ctrlProp"/><Relationship Id="rId22" Target="../ctrlProps/ctrlProp19.xml" Type="http://schemas.openxmlformats.org/officeDocument/2006/relationships/ctrlProp"/><Relationship Id="rId23" Target="../ctrlProps/ctrlProp20.xml" Type="http://schemas.openxmlformats.org/officeDocument/2006/relationships/ctrlProp"/><Relationship Id="rId24" Target="../ctrlProps/ctrlProp21.xml" Type="http://schemas.openxmlformats.org/officeDocument/2006/relationships/ctrlProp"/><Relationship Id="rId25" Target="../ctrlProps/ctrlProp22.xml" Type="http://schemas.openxmlformats.org/officeDocument/2006/relationships/ctrlProp"/><Relationship Id="rId26" Target="../ctrlProps/ctrlProp23.xml" Type="http://schemas.openxmlformats.org/officeDocument/2006/relationships/ctrlProp"/><Relationship Id="rId27" Target="../ctrlProps/ctrlProp24.xml" Type="http://schemas.openxmlformats.org/officeDocument/2006/relationships/ctrlProp"/><Relationship Id="rId28" Target="../ctrlProps/ctrlProp25.xml" Type="http://schemas.openxmlformats.org/officeDocument/2006/relationships/ctrlProp"/><Relationship Id="rId29" Target="../ctrlProps/ctrlProp26.xml" Type="http://schemas.openxmlformats.org/officeDocument/2006/relationships/ctrlProp"/><Relationship Id="rId3" Target="../drawings/vmlDrawing1.vml" Type="http://schemas.openxmlformats.org/officeDocument/2006/relationships/vmlDrawing"/><Relationship Id="rId30" Target="../ctrlProps/ctrlProp27.xml" Type="http://schemas.openxmlformats.org/officeDocument/2006/relationships/ctrlProp"/><Relationship Id="rId31" Target="../ctrlProps/ctrlProp28.xml" Type="http://schemas.openxmlformats.org/officeDocument/2006/relationships/ctrlProp"/><Relationship Id="rId32" Target="../ctrlProps/ctrlProp29.xml" Type="http://schemas.openxmlformats.org/officeDocument/2006/relationships/ctrlProp"/><Relationship Id="rId33" Target="../ctrlProps/ctrlProp30.xml" Type="http://schemas.openxmlformats.org/officeDocument/2006/relationships/ctrlProp"/><Relationship Id="rId34" Target="../ctrlProps/ctrlProp31.xml" Type="http://schemas.openxmlformats.org/officeDocument/2006/relationships/ctrlProp"/><Relationship Id="rId35" Target="../ctrlProps/ctrlProp32.xml" Type="http://schemas.openxmlformats.org/officeDocument/2006/relationships/ctrlProp"/><Relationship Id="rId36" Target="../ctrlProps/ctrlProp33.xml" Type="http://schemas.openxmlformats.org/officeDocument/2006/relationships/ctrlProp"/><Relationship Id="rId37" Target="../ctrlProps/ctrlProp34.xml" Type="http://schemas.openxmlformats.org/officeDocument/2006/relationships/ctrlProp"/><Relationship Id="rId38" Target="../ctrlProps/ctrlProp35.xml" Type="http://schemas.openxmlformats.org/officeDocument/2006/relationships/ctrlProp"/><Relationship Id="rId39" Target="../ctrlProps/ctrlProp36.xml" Type="http://schemas.openxmlformats.org/officeDocument/2006/relationships/ctrlProp"/><Relationship Id="rId4" Target="../ctrlProps/ctrlProp1.xml" Type="http://schemas.openxmlformats.org/officeDocument/2006/relationships/ctrlProp"/><Relationship Id="rId40" Target="../ctrlProps/ctrlProp37.xml" Type="http://schemas.openxmlformats.org/officeDocument/2006/relationships/ctrlProp"/><Relationship Id="rId41" Target="../ctrlProps/ctrlProp38.xml" Type="http://schemas.openxmlformats.org/officeDocument/2006/relationships/ctrlProp"/><Relationship Id="rId42" Target="../ctrlProps/ctrlProp39.xml" Type="http://schemas.openxmlformats.org/officeDocument/2006/relationships/ctrlProp"/><Relationship Id="rId43" Target="../ctrlProps/ctrlProp40.xml" Type="http://schemas.openxmlformats.org/officeDocument/2006/relationships/ctrlProp"/><Relationship Id="rId44" Target="../ctrlProps/ctrlProp41.xml" Type="http://schemas.openxmlformats.org/officeDocument/2006/relationships/ctrlProp"/><Relationship Id="rId45" Target="../ctrlProps/ctrlProp42.xml" Type="http://schemas.openxmlformats.org/officeDocument/2006/relationships/ctrlProp"/><Relationship Id="rId46" Target="../comments1.xml" Type="http://schemas.openxmlformats.org/officeDocument/2006/relationships/comments"/><Relationship Id="rId5" Target="../ctrlProps/ctrlProp2.xml" Type="http://schemas.openxmlformats.org/officeDocument/2006/relationships/ctrlProp"/><Relationship Id="rId6" Target="../ctrlProps/ctrlProp3.xml" Type="http://schemas.openxmlformats.org/officeDocument/2006/relationships/ctrlProp"/><Relationship Id="rId7" Target="../ctrlProps/ctrlProp4.xml" Type="http://schemas.openxmlformats.org/officeDocument/2006/relationships/ctrlProp"/><Relationship Id="rId8" Target="../ctrlProps/ctrlProp5.xml" Type="http://schemas.openxmlformats.org/officeDocument/2006/relationships/ctrlProp"/><Relationship Id="rId9" Target="../ctrlProps/ctrlProp6.xml" Type="http://schemas.openxmlformats.org/officeDocument/2006/relationships/ctrlPro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D110"/>
  <sheetViews>
    <sheetView tabSelected="1" view="pageBreakPreview" zoomScale="115" zoomScaleNormal="150" zoomScaleSheetLayoutView="115" zoomScalePageLayoutView="142" workbookViewId="0">
      <selection activeCell="B1" sqref="B1:BP1"/>
    </sheetView>
  </sheetViews>
  <sheetFormatPr defaultColWidth="8.75" defaultRowHeight="18.75"/>
  <cols>
    <col min="1" max="1" width="0.625" customWidth="1"/>
    <col min="2" max="12" width="1.125" customWidth="1"/>
    <col min="13" max="13" width="2.125" customWidth="1"/>
    <col min="14" max="15" width="1.125" customWidth="1"/>
    <col min="16" max="18" width="1.25" customWidth="1"/>
    <col min="19" max="19" width="2.125" customWidth="1"/>
    <col min="20" max="20" width="2" customWidth="1"/>
    <col min="21" max="21" width="2.125" customWidth="1"/>
    <col min="22" max="22" width="2.75" customWidth="1"/>
    <col min="23" max="23" width="2.125" customWidth="1"/>
    <col min="24" max="24" width="1.25" style="29" customWidth="1"/>
    <col min="25" max="25" width="1.25" customWidth="1"/>
    <col min="26" max="26" width="3.25" customWidth="1"/>
    <col min="27" max="27" width="2" customWidth="1"/>
    <col min="28" max="31" width="1.25" customWidth="1"/>
    <col min="32" max="32" width="3.875" bestFit="1" customWidth="1"/>
    <col min="33" max="36" width="1.25" customWidth="1"/>
    <col min="37" max="37" width="1.125" customWidth="1"/>
    <col min="38" max="41" width="1.25" customWidth="1"/>
    <col min="42" max="47" width="1.125" customWidth="1"/>
    <col min="48" max="48" width="2.125" customWidth="1"/>
    <col min="49" max="58" width="1.125" customWidth="1"/>
    <col min="59" max="60" width="1.375" customWidth="1"/>
    <col min="61" max="61" width="2.875" customWidth="1"/>
    <col min="62" max="62" width="2" customWidth="1"/>
    <col min="63" max="64" width="1.375" customWidth="1"/>
    <col min="65" max="65" width="1.875" customWidth="1"/>
    <col min="66" max="69" width="1.375" customWidth="1"/>
    <col min="70" max="70" width="0.25" customWidth="1"/>
    <col min="71" max="71" width="6" hidden="1" customWidth="1"/>
    <col min="72" max="72" width="0.375" customWidth="1"/>
    <col min="73" max="74" width="0.125" customWidth="1"/>
    <col min="75" max="75" width="11.25" customWidth="1"/>
    <col min="76" max="76" width="14.5" customWidth="1"/>
    <col min="77" max="77" width="6.625" customWidth="1"/>
    <col min="78" max="79" width="6.125" customWidth="1"/>
    <col min="80" max="80" width="7.125" customWidth="1"/>
    <col min="81" max="81" width="8.75" customWidth="1"/>
    <col min="82" max="82" width="9.375" customWidth="1"/>
  </cols>
  <sheetData>
    <row r="1" spans="1:82" s="1" customFormat="1" ht="23.45" customHeight="1">
      <c r="A1" s="4"/>
      <c r="B1" s="225" t="s">
        <v>0</v>
      </c>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c r="AK1" s="225"/>
      <c r="AL1" s="225"/>
      <c r="AM1" s="225"/>
      <c r="AN1" s="225"/>
      <c r="AO1" s="225"/>
      <c r="AP1" s="225"/>
      <c r="AQ1" s="225"/>
      <c r="AR1" s="225"/>
      <c r="AS1" s="225"/>
      <c r="AT1" s="225"/>
      <c r="AU1" s="225"/>
      <c r="AV1" s="225"/>
      <c r="AW1" s="225"/>
      <c r="AX1" s="225"/>
      <c r="AY1" s="225"/>
      <c r="AZ1" s="225"/>
      <c r="BA1" s="225"/>
      <c r="BB1" s="225"/>
      <c r="BC1" s="225"/>
      <c r="BD1" s="225"/>
      <c r="BE1" s="225"/>
      <c r="BF1" s="225"/>
      <c r="BG1" s="225"/>
      <c r="BH1" s="225"/>
      <c r="BI1" s="225"/>
      <c r="BJ1" s="225"/>
      <c r="BK1" s="225"/>
      <c r="BL1" s="225"/>
      <c r="BM1" s="225"/>
      <c r="BN1" s="225"/>
      <c r="BO1" s="225"/>
      <c r="BP1" s="225"/>
      <c r="BQ1" s="4"/>
      <c r="BT1"/>
      <c r="BU1"/>
      <c r="BV1"/>
      <c r="BW1"/>
      <c r="BX1"/>
    </row>
    <row r="2" spans="1:82" ht="30" customHeight="1">
      <c r="A2" s="8"/>
      <c r="B2" s="223" t="s">
        <v>1</v>
      </c>
      <c r="C2" s="223"/>
      <c r="D2" s="223"/>
      <c r="E2" s="223"/>
      <c r="F2" s="223"/>
      <c r="G2" s="223"/>
      <c r="H2" s="223"/>
      <c r="I2" s="223"/>
      <c r="J2" s="223"/>
      <c r="K2" s="223"/>
      <c r="L2" s="223"/>
      <c r="M2" s="223"/>
      <c r="N2" s="223"/>
      <c r="O2" s="223"/>
      <c r="P2" s="223"/>
      <c r="Q2" s="223"/>
      <c r="R2" s="223"/>
      <c r="S2" s="223"/>
      <c r="T2" s="223"/>
      <c r="U2" s="226"/>
      <c r="V2" s="222"/>
      <c r="W2" s="222"/>
      <c r="X2" s="222"/>
      <c r="Y2" s="19" t="s">
        <v>2</v>
      </c>
      <c r="Z2" s="222"/>
      <c r="AA2" s="222"/>
      <c r="AB2" s="19" t="s">
        <v>3</v>
      </c>
      <c r="AC2" s="222"/>
      <c r="AD2" s="222"/>
      <c r="AE2" s="19" t="s">
        <v>4</v>
      </c>
      <c r="AF2" s="20"/>
      <c r="AG2" s="24"/>
      <c r="AH2" s="227" t="s">
        <v>5</v>
      </c>
      <c r="AI2" s="227"/>
      <c r="AJ2" s="227"/>
      <c r="AK2" s="227"/>
      <c r="AL2" s="227"/>
      <c r="AM2" s="227"/>
      <c r="AN2" s="227"/>
      <c r="AO2" s="227"/>
      <c r="AP2" s="227"/>
      <c r="AQ2" s="227"/>
      <c r="AR2" s="227"/>
      <c r="AS2" s="227"/>
      <c r="AT2" s="227"/>
      <c r="AU2" s="227"/>
      <c r="AV2" s="227"/>
      <c r="AW2" s="227"/>
      <c r="AX2" s="227"/>
      <c r="AY2" s="227"/>
      <c r="AZ2" s="227"/>
      <c r="BA2" s="227"/>
      <c r="BB2" s="227"/>
      <c r="BC2" s="227"/>
      <c r="BD2" s="227"/>
      <c r="BE2" s="228"/>
      <c r="BF2" s="226"/>
      <c r="BG2" s="222"/>
      <c r="BH2" s="222"/>
      <c r="BI2" s="222"/>
      <c r="BJ2" s="19" t="s">
        <v>2</v>
      </c>
      <c r="BK2" s="222"/>
      <c r="BL2" s="222"/>
      <c r="BM2" s="19" t="s">
        <v>6</v>
      </c>
      <c r="BN2" s="222"/>
      <c r="BO2" s="222"/>
      <c r="BP2" s="19" t="s">
        <v>4</v>
      </c>
      <c r="BQ2" s="20"/>
    </row>
    <row r="3" spans="1:82" ht="27.75" customHeight="1">
      <c r="A3" s="8"/>
      <c r="B3" s="223" t="s">
        <v>7</v>
      </c>
      <c r="C3" s="223"/>
      <c r="D3" s="223"/>
      <c r="E3" s="223"/>
      <c r="F3" s="223"/>
      <c r="G3" s="223"/>
      <c r="H3" s="223"/>
      <c r="I3" s="223"/>
      <c r="J3" s="223"/>
      <c r="K3" s="223"/>
      <c r="L3" s="223"/>
      <c r="M3" s="184"/>
      <c r="N3" s="184"/>
      <c r="O3" s="184"/>
      <c r="P3" s="184"/>
      <c r="Q3" s="184"/>
      <c r="R3" s="184"/>
      <c r="S3" s="184"/>
      <c r="T3" s="184"/>
      <c r="U3" s="156"/>
      <c r="V3" s="157"/>
      <c r="W3" s="158" t="s">
        <v>8</v>
      </c>
      <c r="X3" s="159"/>
      <c r="Y3" s="157"/>
      <c r="Z3" s="157"/>
      <c r="AA3" s="80"/>
      <c r="AB3" s="80"/>
      <c r="AC3" s="80"/>
      <c r="AD3" s="160" t="s">
        <v>9</v>
      </c>
      <c r="AE3" s="80"/>
      <c r="AF3" s="161"/>
      <c r="AG3" s="24"/>
      <c r="AH3" s="223" t="s">
        <v>10</v>
      </c>
      <c r="AI3" s="223"/>
      <c r="AJ3" s="223"/>
      <c r="AK3" s="223"/>
      <c r="AL3" s="223"/>
      <c r="AM3" s="223"/>
      <c r="AN3" s="223"/>
      <c r="AO3" s="223"/>
      <c r="AP3" s="223"/>
      <c r="AQ3" s="223"/>
      <c r="AR3" s="223"/>
      <c r="AS3" s="223"/>
      <c r="AT3" s="223"/>
      <c r="AU3" s="223"/>
      <c r="AV3" s="223"/>
      <c r="AW3" s="223"/>
      <c r="AX3" s="223"/>
      <c r="AY3" s="223"/>
      <c r="AZ3" s="223"/>
      <c r="BA3" s="223"/>
      <c r="BB3" s="223"/>
      <c r="BC3" s="223"/>
      <c r="BD3" s="223"/>
      <c r="BE3" s="224"/>
      <c r="BF3" s="77"/>
      <c r="BG3" s="78"/>
      <c r="BH3" s="78" t="s">
        <v>11</v>
      </c>
      <c r="BI3" s="78"/>
      <c r="BJ3" s="78"/>
      <c r="BK3" s="78"/>
      <c r="BL3" s="78"/>
      <c r="BM3" s="78" t="s">
        <v>12</v>
      </c>
      <c r="BN3" s="78"/>
      <c r="BO3" s="78"/>
      <c r="BP3" s="78"/>
      <c r="BQ3" s="79"/>
      <c r="BU3">
        <v>0</v>
      </c>
      <c r="BV3">
        <v>0</v>
      </c>
    </row>
    <row r="4" spans="1:82" s="2" customFormat="1" ht="18" customHeight="1">
      <c r="A4" s="190" t="s">
        <v>103</v>
      </c>
      <c r="B4" s="191"/>
      <c r="C4" s="191"/>
      <c r="D4" s="191"/>
      <c r="E4" s="191"/>
      <c r="F4" s="191"/>
      <c r="G4" s="191"/>
      <c r="H4" s="191"/>
      <c r="I4" s="191"/>
      <c r="J4" s="191"/>
      <c r="K4" s="191"/>
      <c r="L4" s="191"/>
      <c r="M4" s="162" t="s">
        <v>36</v>
      </c>
      <c r="N4" s="80" t="s">
        <v>96</v>
      </c>
      <c r="O4" s="80"/>
      <c r="P4" s="80"/>
      <c r="Q4" s="80"/>
      <c r="R4" s="163"/>
      <c r="S4" s="164"/>
      <c r="T4" s="163" t="s">
        <v>36</v>
      </c>
      <c r="U4" s="80" t="s">
        <v>101</v>
      </c>
      <c r="V4" s="164"/>
      <c r="W4" s="163"/>
      <c r="X4" s="80"/>
      <c r="Y4" s="80"/>
      <c r="Z4" s="80"/>
      <c r="AA4" s="163" t="s">
        <v>97</v>
      </c>
      <c r="AB4" s="80" t="s">
        <v>104</v>
      </c>
      <c r="AC4" s="80"/>
      <c r="AD4" s="80"/>
      <c r="AE4" s="80"/>
      <c r="AF4" s="161"/>
      <c r="AG4" s="151"/>
      <c r="AH4" s="184" t="s">
        <v>95</v>
      </c>
      <c r="AI4" s="184"/>
      <c r="AJ4" s="184"/>
      <c r="AK4" s="184"/>
      <c r="AL4" s="184"/>
      <c r="AM4" s="184"/>
      <c r="AN4" s="184"/>
      <c r="AO4" s="184"/>
      <c r="AP4" s="184"/>
      <c r="AQ4" s="184"/>
      <c r="AR4" s="184"/>
      <c r="AS4" s="184"/>
      <c r="AT4" s="184"/>
      <c r="AU4" s="184"/>
      <c r="AV4" s="184"/>
      <c r="AW4" s="184"/>
      <c r="AX4" s="184"/>
      <c r="AY4" s="184"/>
      <c r="AZ4" s="184"/>
      <c r="BA4" s="184"/>
      <c r="BB4" s="184"/>
      <c r="BC4" s="184"/>
      <c r="BD4" s="184"/>
      <c r="BE4" s="185"/>
      <c r="BF4" s="209" t="s">
        <v>99</v>
      </c>
      <c r="BG4" s="210"/>
      <c r="BH4" s="210"/>
      <c r="BI4" s="210"/>
      <c r="BJ4" s="210"/>
      <c r="BK4" s="210"/>
      <c r="BL4" s="210"/>
      <c r="BM4" s="210"/>
      <c r="BN4" s="210"/>
      <c r="BO4" s="210"/>
      <c r="BP4" s="210"/>
      <c r="BQ4" s="211"/>
      <c r="BU4" s="2">
        <v>0</v>
      </c>
    </row>
    <row r="5" spans="1:82" s="2" customFormat="1" ht="15" customHeight="1">
      <c r="A5" s="192"/>
      <c r="B5" s="193"/>
      <c r="C5" s="193"/>
      <c r="D5" s="193"/>
      <c r="E5" s="193"/>
      <c r="F5" s="193"/>
      <c r="G5" s="193"/>
      <c r="H5" s="193"/>
      <c r="I5" s="193"/>
      <c r="J5" s="193"/>
      <c r="K5" s="193"/>
      <c r="L5" s="193"/>
      <c r="M5" s="165" t="s">
        <v>36</v>
      </c>
      <c r="N5" s="166" t="s">
        <v>105</v>
      </c>
      <c r="O5" s="166"/>
      <c r="P5" s="166"/>
      <c r="Q5" s="166"/>
      <c r="R5" s="167"/>
      <c r="S5" s="167"/>
      <c r="T5" s="166"/>
      <c r="U5" s="167"/>
      <c r="V5" s="168"/>
      <c r="W5" s="166"/>
      <c r="X5" s="168"/>
      <c r="Y5" s="168"/>
      <c r="Z5" s="166"/>
      <c r="AA5" s="167"/>
      <c r="AB5" s="166"/>
      <c r="AC5" s="166"/>
      <c r="AD5" s="166"/>
      <c r="AE5" s="166"/>
      <c r="AF5" s="169"/>
      <c r="AG5" s="152"/>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7"/>
      <c r="BF5" s="153"/>
      <c r="BG5" s="154"/>
      <c r="BH5" s="154"/>
      <c r="BI5" s="154"/>
      <c r="BJ5" s="154"/>
      <c r="BK5" s="154"/>
      <c r="BL5" s="154"/>
      <c r="BM5" s="154"/>
      <c r="BN5" s="154"/>
      <c r="BO5" s="154"/>
      <c r="BP5" s="154"/>
      <c r="BQ5" s="155"/>
    </row>
    <row r="6" spans="1:82" s="2" customFormat="1">
      <c r="A6" s="194"/>
      <c r="B6" s="195"/>
      <c r="C6" s="195"/>
      <c r="D6" s="195"/>
      <c r="E6" s="195"/>
      <c r="F6" s="195"/>
      <c r="G6" s="195"/>
      <c r="H6" s="195"/>
      <c r="I6" s="195"/>
      <c r="J6" s="195"/>
      <c r="K6" s="195"/>
      <c r="L6" s="195"/>
      <c r="M6" s="170" t="s">
        <v>106</v>
      </c>
      <c r="N6" s="221"/>
      <c r="O6" s="221"/>
      <c r="P6" s="221"/>
      <c r="Q6" s="221"/>
      <c r="R6" s="221"/>
      <c r="S6" s="221"/>
      <c r="T6" s="221"/>
      <c r="U6" s="221"/>
      <c r="V6" s="221"/>
      <c r="W6" s="221"/>
      <c r="X6" s="221"/>
      <c r="Y6" s="221"/>
      <c r="Z6" s="221"/>
      <c r="AA6" s="221"/>
      <c r="AB6" s="221"/>
      <c r="AC6" s="221"/>
      <c r="AD6" s="221"/>
      <c r="AE6" s="221"/>
      <c r="AF6" s="171" t="s">
        <v>98</v>
      </c>
      <c r="AG6" s="150"/>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9"/>
      <c r="BF6" s="212" t="s">
        <v>100</v>
      </c>
      <c r="BG6" s="213"/>
      <c r="BH6" s="213"/>
      <c r="BI6" s="213"/>
      <c r="BJ6" s="213"/>
      <c r="BK6" s="213"/>
      <c r="BL6" s="213"/>
      <c r="BM6" s="213"/>
      <c r="BN6" s="213"/>
      <c r="BO6" s="213"/>
      <c r="BP6" s="213"/>
      <c r="BQ6" s="214"/>
    </row>
    <row r="7" spans="1:82" s="3" customFormat="1" ht="11.25" customHeight="1">
      <c r="A7" s="14"/>
      <c r="B7" s="191" t="s">
        <v>13</v>
      </c>
      <c r="C7" s="191"/>
      <c r="D7" s="191"/>
      <c r="E7" s="191"/>
      <c r="F7" s="191"/>
      <c r="G7" s="191"/>
      <c r="H7" s="191"/>
      <c r="I7" s="191"/>
      <c r="J7" s="191"/>
      <c r="K7" s="191"/>
      <c r="L7" s="191"/>
      <c r="M7" s="191"/>
      <c r="N7" s="191"/>
      <c r="O7" s="191"/>
      <c r="P7" s="191"/>
      <c r="Q7" s="191"/>
      <c r="R7" s="191"/>
      <c r="S7" s="191"/>
      <c r="T7" s="191"/>
      <c r="U7" s="191"/>
      <c r="V7" s="191"/>
      <c r="W7" s="191"/>
      <c r="X7" s="191"/>
      <c r="Y7" s="191"/>
      <c r="Z7" s="191"/>
      <c r="AA7" s="191"/>
      <c r="AB7" s="191"/>
      <c r="AC7" s="191"/>
      <c r="AD7" s="191"/>
      <c r="AE7" s="191"/>
      <c r="AF7" s="196"/>
      <c r="AG7" s="80" t="s">
        <v>14</v>
      </c>
      <c r="AH7" s="81"/>
      <c r="AI7" s="81"/>
      <c r="AJ7" s="81"/>
      <c r="AK7" s="81"/>
      <c r="AL7" s="81"/>
      <c r="AM7" s="81"/>
      <c r="AN7" s="81"/>
      <c r="AO7" s="81"/>
      <c r="AP7" s="81"/>
      <c r="AQ7" s="81"/>
      <c r="AR7" s="81"/>
      <c r="AS7" s="81"/>
      <c r="AT7" s="81"/>
      <c r="AU7" s="81"/>
      <c r="AV7" s="81"/>
      <c r="AW7" s="81"/>
      <c r="AX7" s="80"/>
      <c r="AY7" s="80"/>
      <c r="AZ7" s="80"/>
      <c r="BA7" s="80"/>
      <c r="BB7" s="81"/>
      <c r="BC7" s="81"/>
      <c r="BD7" s="81"/>
      <c r="BE7" s="81"/>
      <c r="BF7" s="81"/>
      <c r="BG7" s="81"/>
      <c r="BH7" s="81"/>
      <c r="BI7" s="82"/>
      <c r="BJ7" s="82"/>
      <c r="BK7" s="82"/>
      <c r="BL7" s="82"/>
      <c r="BM7" s="82"/>
      <c r="BN7" s="82"/>
      <c r="BO7" s="82"/>
      <c r="BP7" s="82"/>
      <c r="BQ7" s="83"/>
      <c r="BT7"/>
      <c r="BU7" s="3">
        <v>0</v>
      </c>
      <c r="BV7"/>
      <c r="BW7"/>
      <c r="BX7"/>
    </row>
    <row r="8" spans="1:82" ht="11.25" customHeight="1">
      <c r="A8" s="9"/>
      <c r="B8" s="57" t="s">
        <v>15</v>
      </c>
      <c r="C8" s="33"/>
      <c r="D8" s="57"/>
      <c r="E8" s="33"/>
      <c r="F8" s="33"/>
      <c r="G8" s="33"/>
      <c r="H8" s="33"/>
      <c r="I8" s="33"/>
      <c r="J8" s="33"/>
      <c r="K8" s="33"/>
      <c r="L8" s="33"/>
      <c r="M8" s="33"/>
      <c r="N8" s="33"/>
      <c r="O8" s="33"/>
      <c r="P8" s="33"/>
      <c r="Q8" s="33"/>
      <c r="R8" s="33"/>
      <c r="S8" s="33"/>
      <c r="T8" s="33"/>
      <c r="U8" s="34"/>
      <c r="V8" s="34"/>
      <c r="W8" s="34"/>
      <c r="X8" s="34"/>
      <c r="Y8" s="34"/>
      <c r="Z8" s="34"/>
      <c r="AA8" s="34"/>
      <c r="AB8" s="34"/>
      <c r="AC8" s="34"/>
      <c r="AD8" s="34"/>
      <c r="AE8" s="34"/>
      <c r="AF8" s="56"/>
      <c r="AG8" s="84"/>
      <c r="AH8" s="7"/>
      <c r="AI8" s="7"/>
      <c r="AJ8" s="7"/>
      <c r="AL8" s="85"/>
      <c r="AM8" s="86" t="s">
        <v>16</v>
      </c>
      <c r="AN8" s="7"/>
      <c r="AO8" s="7"/>
      <c r="AP8" s="87"/>
      <c r="AQ8" s="87"/>
      <c r="AR8" s="87"/>
      <c r="AS8" s="7" t="s">
        <v>2</v>
      </c>
      <c r="AT8" s="87"/>
      <c r="AU8" s="87"/>
      <c r="AV8" s="7" t="s">
        <v>6</v>
      </c>
      <c r="AW8" s="87"/>
      <c r="AX8" s="87"/>
      <c r="AY8" s="7" t="s">
        <v>4</v>
      </c>
      <c r="BC8" s="85"/>
      <c r="BD8" s="85"/>
      <c r="BE8" s="85"/>
      <c r="BF8" s="85"/>
      <c r="BI8" s="84" t="s">
        <v>17</v>
      </c>
      <c r="BJ8" s="88"/>
      <c r="BK8" s="88"/>
      <c r="BL8" s="89"/>
      <c r="BM8" s="89"/>
      <c r="BN8" s="89"/>
      <c r="BQ8" s="90"/>
      <c r="BU8" s="3">
        <v>0</v>
      </c>
    </row>
    <row r="9" spans="1:82" ht="20.45" customHeight="1">
      <c r="A9" s="55"/>
      <c r="B9" s="30"/>
      <c r="C9" s="30"/>
      <c r="D9" s="195" t="s">
        <v>18</v>
      </c>
      <c r="E9" s="195"/>
      <c r="F9" s="195"/>
      <c r="G9" s="195"/>
      <c r="H9" s="195"/>
      <c r="I9" s="195"/>
      <c r="J9" s="195"/>
      <c r="K9" s="195"/>
      <c r="L9" s="195"/>
      <c r="M9" s="195"/>
      <c r="N9" s="195"/>
      <c r="O9" s="195"/>
      <c r="P9" s="195"/>
      <c r="Q9" s="195"/>
      <c r="R9" s="195"/>
      <c r="S9" s="195"/>
      <c r="T9" s="195"/>
      <c r="U9" s="195"/>
      <c r="V9" s="195"/>
      <c r="W9" s="195"/>
      <c r="X9" s="195"/>
      <c r="Y9" s="195"/>
      <c r="Z9" s="195"/>
      <c r="AA9" s="195"/>
      <c r="AB9" s="195"/>
      <c r="AC9" s="195"/>
      <c r="AD9" s="195"/>
      <c r="AE9" s="195"/>
      <c r="AF9" s="197"/>
      <c r="AG9" s="91"/>
      <c r="AH9" s="91"/>
      <c r="AI9" s="91"/>
      <c r="AJ9" s="91"/>
      <c r="AK9" s="91"/>
      <c r="AL9" s="91"/>
      <c r="AM9" s="92" t="s">
        <v>19</v>
      </c>
      <c r="AN9" s="91"/>
      <c r="AO9" s="91"/>
      <c r="AP9" s="91"/>
      <c r="AQ9" s="91"/>
      <c r="AR9" s="91"/>
      <c r="AS9" s="91"/>
      <c r="AT9" s="91"/>
      <c r="AU9" s="91"/>
      <c r="AV9" s="91"/>
      <c r="AW9" s="93"/>
      <c r="AX9" s="93"/>
      <c r="AY9" s="93"/>
      <c r="AZ9" s="92"/>
      <c r="BA9" s="93"/>
      <c r="BB9" s="93"/>
      <c r="BC9" s="94"/>
      <c r="BD9" s="94"/>
      <c r="BE9" s="94"/>
      <c r="BF9" s="94"/>
      <c r="BG9" s="94"/>
      <c r="BH9" s="94"/>
      <c r="BI9" s="92" t="s">
        <v>20</v>
      </c>
      <c r="BJ9" s="95"/>
      <c r="BK9" s="95"/>
      <c r="BL9" s="95"/>
      <c r="BM9" s="96"/>
      <c r="BN9" s="96"/>
      <c r="BO9" s="96"/>
      <c r="BP9" s="96"/>
      <c r="BQ9" s="97"/>
      <c r="BU9">
        <v>0</v>
      </c>
    </row>
    <row r="10" spans="1:82" ht="13.5" customHeight="1">
      <c r="A10" s="14"/>
      <c r="B10" s="191" t="s">
        <v>21</v>
      </c>
      <c r="C10" s="191"/>
      <c r="D10" s="191"/>
      <c r="E10" s="191"/>
      <c r="F10" s="191"/>
      <c r="G10" s="191"/>
      <c r="H10" s="191"/>
      <c r="I10" s="191"/>
      <c r="J10" s="191"/>
      <c r="K10" s="191"/>
      <c r="L10" s="191"/>
      <c r="M10" s="191"/>
      <c r="N10" s="191"/>
      <c r="O10" s="191"/>
      <c r="P10" s="191"/>
      <c r="Q10" s="191"/>
      <c r="R10" s="191"/>
      <c r="S10" s="191"/>
      <c r="T10" s="191"/>
      <c r="U10" s="191"/>
      <c r="V10" s="191"/>
      <c r="W10" s="191"/>
      <c r="X10" s="191"/>
      <c r="Y10" s="191"/>
      <c r="Z10" s="191"/>
      <c r="AA10" s="191"/>
      <c r="AB10" s="191"/>
      <c r="AC10" s="191"/>
      <c r="AD10" s="191"/>
      <c r="AE10" s="191"/>
      <c r="AF10" s="196"/>
      <c r="AG10" s="80" t="s">
        <v>22</v>
      </c>
      <c r="AH10" s="81"/>
      <c r="AI10" s="81"/>
      <c r="AJ10" s="81"/>
      <c r="AK10" s="81"/>
      <c r="AL10" s="81"/>
      <c r="AM10" s="81"/>
      <c r="AN10" s="81"/>
      <c r="AO10" s="81"/>
      <c r="AP10" s="81"/>
      <c r="AQ10" s="81"/>
      <c r="AR10" s="81"/>
      <c r="AS10" s="81"/>
      <c r="AT10" s="81"/>
      <c r="AU10" s="81"/>
      <c r="AV10" s="81"/>
      <c r="AW10" s="81"/>
      <c r="AX10" s="80"/>
      <c r="AY10" s="80"/>
      <c r="AZ10" s="80"/>
      <c r="BA10" s="80"/>
      <c r="BB10" s="81"/>
      <c r="BC10" s="81"/>
      <c r="BD10" s="81"/>
      <c r="BE10" s="81"/>
      <c r="BF10" s="81"/>
      <c r="BG10" s="81"/>
      <c r="BH10" s="81"/>
      <c r="BI10" s="82"/>
      <c r="BJ10" s="82"/>
      <c r="BK10" s="82"/>
      <c r="BL10" s="82"/>
      <c r="BM10" s="82"/>
      <c r="BN10" s="82"/>
      <c r="BO10" s="82"/>
      <c r="BP10" s="82"/>
      <c r="BQ10" s="83"/>
      <c r="BU10">
        <v>0</v>
      </c>
    </row>
    <row r="11" spans="1:82" ht="11.25" customHeight="1">
      <c r="A11" s="9"/>
      <c r="B11" s="57" t="s">
        <v>23</v>
      </c>
      <c r="C11" s="33"/>
      <c r="D11" s="57"/>
      <c r="E11" s="33"/>
      <c r="F11" s="33"/>
      <c r="G11" s="33"/>
      <c r="H11" s="33"/>
      <c r="I11" s="33"/>
      <c r="J11" s="33"/>
      <c r="K11" s="33"/>
      <c r="L11" s="33"/>
      <c r="M11" s="33"/>
      <c r="N11" s="33"/>
      <c r="O11" s="33"/>
      <c r="P11" s="33"/>
      <c r="Q11" s="33"/>
      <c r="R11" s="33"/>
      <c r="S11" s="33"/>
      <c r="T11" s="33"/>
      <c r="U11" s="34"/>
      <c r="V11" s="34"/>
      <c r="W11" s="34"/>
      <c r="X11" s="34"/>
      <c r="Y11" s="34"/>
      <c r="Z11" s="34"/>
      <c r="AA11" s="34"/>
      <c r="AB11" s="34"/>
      <c r="AC11" s="34"/>
      <c r="AD11" s="34"/>
      <c r="AE11" s="34"/>
      <c r="AF11" s="56"/>
      <c r="AG11" s="84"/>
      <c r="AH11" s="7"/>
      <c r="AI11" s="7"/>
      <c r="AJ11" s="7"/>
      <c r="AL11" s="85"/>
      <c r="AM11" s="86" t="s">
        <v>24</v>
      </c>
      <c r="AN11" s="7"/>
      <c r="AO11" s="7"/>
      <c r="AP11" s="87"/>
      <c r="AQ11" s="87"/>
      <c r="AR11" s="87"/>
      <c r="AS11" s="7" t="s">
        <v>2</v>
      </c>
      <c r="AT11" s="87"/>
      <c r="AU11" s="87"/>
      <c r="AV11" s="7" t="s">
        <v>6</v>
      </c>
      <c r="AW11" s="87"/>
      <c r="AX11" s="87"/>
      <c r="AY11" s="7" t="s">
        <v>4</v>
      </c>
      <c r="BC11" s="85"/>
      <c r="BD11" s="85"/>
      <c r="BE11" s="85"/>
      <c r="BF11" s="85"/>
      <c r="BI11" s="84" t="s">
        <v>25</v>
      </c>
      <c r="BJ11" s="88"/>
      <c r="BK11" s="88"/>
      <c r="BL11" s="89"/>
      <c r="BM11" s="89"/>
      <c r="BN11" s="89"/>
      <c r="BQ11" s="90"/>
      <c r="BU11">
        <v>0</v>
      </c>
    </row>
    <row r="12" spans="1:82" ht="21" customHeight="1">
      <c r="A12" s="55"/>
      <c r="B12" s="30"/>
      <c r="C12" s="30"/>
      <c r="D12" s="195" t="s">
        <v>26</v>
      </c>
      <c r="E12" s="195"/>
      <c r="F12" s="195"/>
      <c r="G12" s="195"/>
      <c r="H12" s="195"/>
      <c r="I12" s="195"/>
      <c r="J12" s="195"/>
      <c r="K12" s="195"/>
      <c r="L12" s="195"/>
      <c r="M12" s="195"/>
      <c r="N12" s="195"/>
      <c r="O12" s="195"/>
      <c r="P12" s="195"/>
      <c r="Q12" s="195"/>
      <c r="R12" s="195"/>
      <c r="S12" s="195"/>
      <c r="T12" s="195"/>
      <c r="U12" s="195"/>
      <c r="V12" s="195"/>
      <c r="W12" s="195"/>
      <c r="X12" s="195"/>
      <c r="Y12" s="195"/>
      <c r="Z12" s="195"/>
      <c r="AA12" s="195"/>
      <c r="AB12" s="195"/>
      <c r="AC12" s="195"/>
      <c r="AD12" s="195"/>
      <c r="AE12" s="195"/>
      <c r="AF12" s="197"/>
      <c r="AG12" s="91"/>
      <c r="AH12" s="91"/>
      <c r="AI12" s="91"/>
      <c r="AJ12" s="91"/>
      <c r="AK12" s="91"/>
      <c r="AL12" s="91"/>
      <c r="AM12" s="92" t="s">
        <v>19</v>
      </c>
      <c r="AN12" s="91"/>
      <c r="AO12" s="91"/>
      <c r="AP12" s="91"/>
      <c r="AQ12" s="91"/>
      <c r="AR12" s="91"/>
      <c r="AS12" s="91"/>
      <c r="AT12" s="91"/>
      <c r="AU12" s="91"/>
      <c r="AV12" s="91"/>
      <c r="AW12" s="93"/>
      <c r="AX12" s="93"/>
      <c r="AY12" s="93"/>
      <c r="AZ12" s="92"/>
      <c r="BA12" s="93"/>
      <c r="BB12" s="93"/>
      <c r="BC12" s="94"/>
      <c r="BD12" s="94"/>
      <c r="BE12" s="94"/>
      <c r="BF12" s="94"/>
      <c r="BG12" s="94"/>
      <c r="BH12" s="94"/>
      <c r="BI12" s="92" t="s">
        <v>20</v>
      </c>
      <c r="BJ12" s="95"/>
      <c r="BK12" s="95"/>
      <c r="BL12" s="95"/>
      <c r="BM12" s="96"/>
      <c r="BN12" s="96"/>
      <c r="BO12" s="96"/>
      <c r="BP12" s="96"/>
      <c r="BQ12" s="97"/>
    </row>
    <row r="13" spans="1:82" ht="14.1" customHeight="1">
      <c r="A13" s="5"/>
      <c r="B13" s="5"/>
      <c r="C13" s="5"/>
      <c r="D13" s="5"/>
      <c r="E13" s="5"/>
      <c r="F13" s="5"/>
      <c r="G13" s="5"/>
      <c r="H13" s="5"/>
      <c r="I13" s="5"/>
      <c r="J13" s="5"/>
      <c r="K13" s="5"/>
      <c r="L13" s="5"/>
      <c r="M13" s="5"/>
      <c r="N13" s="5"/>
      <c r="O13" s="5"/>
      <c r="P13" s="5"/>
      <c r="Q13" s="5"/>
      <c r="R13" s="5"/>
      <c r="S13" s="5"/>
      <c r="T13" s="5"/>
      <c r="U13" s="5"/>
      <c r="V13" s="5"/>
      <c r="W13" s="5"/>
      <c r="X13" s="25"/>
      <c r="BR13" s="6"/>
      <c r="BS13" s="133">
        <f>IF(M18="□",0,1)</f>
        <v>0</v>
      </c>
      <c r="BT13" s="133">
        <v>40000</v>
      </c>
      <c r="BU13" s="133">
        <f>BS13*BT13</f>
        <v>0</v>
      </c>
      <c r="BV13" s="6"/>
      <c r="BW13" s="6"/>
      <c r="BX13" s="6"/>
      <c r="BY13" s="6"/>
      <c r="BZ13" s="12"/>
      <c r="CA13" s="6"/>
      <c r="CB13" s="6"/>
      <c r="CC13" s="6"/>
      <c r="CD13" s="6"/>
    </row>
    <row r="14" spans="1:82" ht="10.5" customHeight="1">
      <c r="A14" s="5"/>
      <c r="B14" s="198" t="s">
        <v>27</v>
      </c>
      <c r="C14" s="198"/>
      <c r="D14" s="198"/>
      <c r="E14" s="198"/>
      <c r="F14" s="198"/>
      <c r="G14" s="198"/>
      <c r="H14" s="198"/>
      <c r="I14" s="198"/>
      <c r="J14" s="198"/>
      <c r="K14" s="198"/>
      <c r="L14" s="198"/>
      <c r="M14" s="198"/>
      <c r="N14" s="198"/>
      <c r="O14" s="5"/>
      <c r="P14" s="5"/>
      <c r="Q14" s="5"/>
      <c r="R14" s="5"/>
      <c r="S14" s="5"/>
      <c r="T14" s="5"/>
      <c r="U14" s="5"/>
      <c r="V14" s="5"/>
      <c r="W14" s="5"/>
      <c r="X14" s="25"/>
      <c r="BR14" s="11"/>
      <c r="BT14" s="128"/>
      <c r="BU14" s="128"/>
      <c r="BV14" s="69"/>
      <c r="BZ14" s="31"/>
      <c r="CA14" s="31"/>
      <c r="CB14" s="31"/>
      <c r="CC14" s="31"/>
      <c r="CD14" s="31"/>
    </row>
    <row r="15" spans="1:82" ht="12" customHeight="1">
      <c r="A15" s="5"/>
      <c r="B15" s="198"/>
      <c r="C15" s="198"/>
      <c r="D15" s="198"/>
      <c r="E15" s="198"/>
      <c r="F15" s="198"/>
      <c r="G15" s="198"/>
      <c r="H15" s="198"/>
      <c r="I15" s="198"/>
      <c r="J15" s="198"/>
      <c r="K15" s="198"/>
      <c r="L15" s="198"/>
      <c r="M15" s="198"/>
      <c r="N15" s="198"/>
      <c r="O15" s="5"/>
      <c r="P15" s="5"/>
      <c r="Q15" s="5"/>
      <c r="R15" s="5"/>
      <c r="S15" s="5"/>
      <c r="T15" s="5"/>
      <c r="U15" s="5"/>
      <c r="V15" s="5"/>
      <c r="W15" s="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10"/>
      <c r="BR15" s="5"/>
      <c r="BS15" s="133">
        <f>IF(M21="□",0,1)</f>
        <v>0</v>
      </c>
      <c r="BT15" s="133">
        <v>26000</v>
      </c>
      <c r="BU15" s="133">
        <f>BS15*BT15</f>
        <v>0</v>
      </c>
      <c r="BV15" s="129"/>
      <c r="BW15" s="129"/>
      <c r="BX15" s="129"/>
      <c r="BY15" s="129"/>
      <c r="BZ15" s="129"/>
      <c r="CA15" s="129"/>
      <c r="CB15" s="129"/>
    </row>
    <row r="16" spans="1:82" ht="12" customHeight="1">
      <c r="A16" s="5"/>
      <c r="B16" s="75" t="s">
        <v>28</v>
      </c>
      <c r="C16" s="32"/>
      <c r="D16" s="32"/>
      <c r="E16" s="32"/>
      <c r="F16" s="32"/>
      <c r="G16" s="32"/>
      <c r="H16" s="32"/>
      <c r="I16" s="32"/>
      <c r="J16" s="32"/>
      <c r="K16" s="4"/>
      <c r="L16" s="5"/>
      <c r="M16" s="5"/>
      <c r="N16" s="5"/>
      <c r="O16" s="4"/>
      <c r="P16" s="4"/>
      <c r="Q16" s="5"/>
      <c r="R16" s="12"/>
      <c r="S16" s="4"/>
      <c r="T16" s="6"/>
      <c r="U16" s="6"/>
      <c r="V16" s="6"/>
      <c r="W16" s="6"/>
      <c r="X16" s="26"/>
      <c r="Y16" s="6"/>
      <c r="Z16" s="6"/>
      <c r="AA16" s="6"/>
      <c r="AB16" s="6"/>
      <c r="AC16" s="6"/>
      <c r="AD16" s="6"/>
      <c r="AE16" s="6"/>
      <c r="AF16" s="6"/>
      <c r="AG16" s="6"/>
      <c r="AH16" s="6"/>
      <c r="AI16" s="6"/>
      <c r="AJ16" s="12"/>
      <c r="AK16" s="75"/>
      <c r="AL16" s="6"/>
      <c r="AM16" s="6"/>
      <c r="AN16" s="6"/>
      <c r="AO16" s="6"/>
      <c r="AP16" s="74"/>
      <c r="AQ16" s="5"/>
      <c r="AS16" s="32"/>
      <c r="AT16" s="32"/>
      <c r="AU16" s="32"/>
      <c r="AV16" s="32"/>
      <c r="AW16" s="32"/>
      <c r="AX16" s="32"/>
      <c r="AY16" s="32"/>
      <c r="AZ16" s="32"/>
      <c r="BA16" s="4"/>
      <c r="BB16" s="5"/>
      <c r="BC16" s="5"/>
      <c r="BD16" s="5"/>
      <c r="BE16" s="4"/>
      <c r="BF16" s="4"/>
      <c r="BG16" s="5"/>
      <c r="BH16" s="12"/>
      <c r="BI16" s="4"/>
      <c r="BJ16" s="6"/>
      <c r="BK16" s="6"/>
      <c r="BL16" s="6"/>
      <c r="BM16" s="6"/>
      <c r="BN16" s="26"/>
      <c r="BO16" s="6"/>
      <c r="BP16" s="6"/>
      <c r="BQ16" s="6"/>
      <c r="BR16" s="5"/>
      <c r="BS16" s="4"/>
    </row>
    <row r="17" spans="1:80" ht="12" customHeight="1" thickBot="1">
      <c r="A17" s="5"/>
      <c r="B17" s="125" t="s">
        <v>29</v>
      </c>
      <c r="C17" s="48"/>
      <c r="D17" s="48"/>
      <c r="E17" s="48"/>
      <c r="F17" s="48"/>
      <c r="G17" s="48"/>
      <c r="H17" s="48"/>
      <c r="I17" s="48"/>
      <c r="J17" s="5"/>
      <c r="K17" s="5"/>
      <c r="L17" s="5"/>
      <c r="M17" s="5"/>
      <c r="N17" s="10" t="s">
        <v>30</v>
      </c>
      <c r="O17" s="11"/>
      <c r="Q17" s="10"/>
      <c r="T17" s="5"/>
      <c r="U17" s="5"/>
      <c r="V17" s="5"/>
      <c r="W17" s="5"/>
      <c r="X17" s="31"/>
      <c r="Y17" s="31"/>
      <c r="Z17" s="70" t="s">
        <v>31</v>
      </c>
      <c r="AD17" s="38"/>
      <c r="AE17" s="38"/>
      <c r="AF17" s="38"/>
      <c r="AG17" s="38"/>
      <c r="AH17" s="31"/>
      <c r="AK17" s="131" t="s">
        <v>32</v>
      </c>
      <c r="AL17" s="48"/>
      <c r="AM17" s="48"/>
      <c r="AN17" s="48"/>
      <c r="AO17" s="48"/>
      <c r="AP17" s="48"/>
      <c r="AQ17" s="48"/>
      <c r="AR17" s="48"/>
      <c r="AS17" s="5"/>
      <c r="AT17" s="5"/>
      <c r="AU17" s="5"/>
      <c r="AV17" s="5"/>
      <c r="AW17" s="10" t="s">
        <v>30</v>
      </c>
      <c r="AZ17" s="10"/>
      <c r="BC17" s="5"/>
      <c r="BD17" s="5"/>
      <c r="BE17" s="5"/>
      <c r="BF17" s="5"/>
      <c r="BG17" s="31"/>
      <c r="BH17" s="31"/>
      <c r="BI17" s="70" t="s">
        <v>33</v>
      </c>
      <c r="BM17" s="38"/>
      <c r="BN17" s="38"/>
      <c r="BO17" s="38"/>
      <c r="BP17" s="31"/>
      <c r="BQ17" s="31"/>
      <c r="BS17" s="133">
        <f>IF(AV18="□",0,1)</f>
        <v>0</v>
      </c>
      <c r="BT17" s="133">
        <v>50000</v>
      </c>
      <c r="BU17" s="133">
        <f>BS17*BT17</f>
        <v>0</v>
      </c>
      <c r="BV17" s="62"/>
      <c r="BW17" s="62"/>
      <c r="BX17" s="62"/>
      <c r="BY17" s="62"/>
      <c r="BZ17" s="62"/>
      <c r="CA17" s="62"/>
      <c r="CB17" s="129"/>
    </row>
    <row r="18" spans="1:80" ht="12" customHeight="1" thickTop="1">
      <c r="A18" s="5"/>
      <c r="B18" s="73" t="s">
        <v>34</v>
      </c>
      <c r="C18" s="41"/>
      <c r="D18" s="41"/>
      <c r="E18" s="41"/>
      <c r="F18" s="41"/>
      <c r="G18" s="41"/>
      <c r="H18" s="41"/>
      <c r="I18" s="42"/>
      <c r="J18" s="5"/>
      <c r="K18" s="5"/>
      <c r="L18" s="4"/>
      <c r="M18" s="132" t="s">
        <v>36</v>
      </c>
      <c r="N18" s="120" t="s">
        <v>35</v>
      </c>
      <c r="O18" s="39"/>
      <c r="P18" s="101"/>
      <c r="Q18" s="102"/>
      <c r="R18" s="103"/>
      <c r="S18" s="103"/>
      <c r="T18" s="103"/>
      <c r="U18" s="103"/>
      <c r="V18" s="103"/>
      <c r="W18" s="103"/>
      <c r="X18" s="103"/>
      <c r="Y18" s="103"/>
      <c r="Z18" s="50"/>
      <c r="AA18" s="51"/>
      <c r="AB18" s="51"/>
      <c r="AC18" s="51"/>
      <c r="AD18" s="51"/>
      <c r="AE18" s="51"/>
      <c r="AF18" s="51"/>
      <c r="AG18" s="52"/>
      <c r="AK18" s="73" t="s">
        <v>34</v>
      </c>
      <c r="AL18" s="41"/>
      <c r="AM18" s="41"/>
      <c r="AN18" s="41"/>
      <c r="AO18" s="41"/>
      <c r="AP18" s="41"/>
      <c r="AQ18" s="41"/>
      <c r="AR18" s="42"/>
      <c r="AS18" s="5"/>
      <c r="AT18" s="5"/>
      <c r="AU18" s="4"/>
      <c r="AV18" s="132" t="s">
        <v>36</v>
      </c>
      <c r="AW18" s="120" t="s">
        <v>35</v>
      </c>
      <c r="AX18" s="39"/>
      <c r="AY18" s="101"/>
      <c r="AZ18" s="102"/>
      <c r="BA18" s="103"/>
      <c r="BB18" s="103"/>
      <c r="BC18" s="103"/>
      <c r="BD18" s="103"/>
      <c r="BE18" s="103"/>
      <c r="BF18" s="103"/>
      <c r="BG18" s="103"/>
      <c r="BH18" s="103"/>
      <c r="BI18" s="50"/>
      <c r="BJ18" s="51"/>
      <c r="BK18" s="51"/>
      <c r="BL18" s="51"/>
      <c r="BM18" s="51"/>
      <c r="BN18" s="51"/>
      <c r="BO18" s="52"/>
      <c r="BQ18" s="4"/>
      <c r="BR18" s="5"/>
      <c r="BS18" s="6">
        <v>0</v>
      </c>
      <c r="BT18" s="130"/>
      <c r="BU18" s="130"/>
      <c r="BV18" s="130"/>
      <c r="BW18" s="130"/>
      <c r="BX18" s="130"/>
      <c r="BY18" s="130"/>
      <c r="BZ18" s="256"/>
      <c r="CA18" s="256"/>
      <c r="CB18" s="256"/>
    </row>
    <row r="19" spans="1:80" ht="12" customHeight="1">
      <c r="A19" s="5"/>
      <c r="B19" s="109"/>
      <c r="I19" s="110"/>
      <c r="J19" s="5"/>
      <c r="K19" s="25" t="s">
        <v>37</v>
      </c>
      <c r="L19" s="4"/>
      <c r="M19" s="132"/>
      <c r="N19" s="121" t="s">
        <v>38</v>
      </c>
      <c r="O19" s="6"/>
      <c r="P19" s="119"/>
      <c r="Q19" s="119"/>
      <c r="R19" s="119"/>
      <c r="S19" s="119"/>
      <c r="T19" s="119"/>
      <c r="U19" s="119"/>
      <c r="V19" s="119"/>
      <c r="W19" s="119"/>
      <c r="X19" s="5" t="s">
        <v>39</v>
      </c>
      <c r="Y19" s="119"/>
      <c r="Z19" s="257">
        <f>C20*SUM(BU13:BU15)</f>
        <v>0</v>
      </c>
      <c r="AA19" s="258"/>
      <c r="AB19" s="258"/>
      <c r="AC19" s="258"/>
      <c r="AD19" s="258"/>
      <c r="AE19" s="258"/>
      <c r="AG19" s="108"/>
      <c r="AK19" s="109"/>
      <c r="AR19" s="110"/>
      <c r="AS19" s="5"/>
      <c r="AT19" s="25" t="s">
        <v>37</v>
      </c>
      <c r="AU19" s="4"/>
      <c r="AV19" s="4"/>
      <c r="AW19" s="121" t="s">
        <v>40</v>
      </c>
      <c r="AX19" s="6"/>
      <c r="AY19" s="119"/>
      <c r="AZ19" s="119"/>
      <c r="BA19" s="119"/>
      <c r="BB19" s="119"/>
      <c r="BC19" s="119"/>
      <c r="BD19" s="119"/>
      <c r="BE19" s="119"/>
      <c r="BF19" s="119"/>
      <c r="BG19" s="5" t="s">
        <v>39</v>
      </c>
      <c r="BH19" s="119"/>
      <c r="BI19" s="261">
        <f>AL20*SUM(BU17:BU19)</f>
        <v>0</v>
      </c>
      <c r="BJ19" s="262"/>
      <c r="BK19" s="262"/>
      <c r="BL19" s="262"/>
      <c r="BM19" s="262"/>
      <c r="BO19" s="108"/>
      <c r="BQ19" s="71"/>
      <c r="BR19" s="6"/>
      <c r="BS19" s="133">
        <f>IF(AV21="□",0,1)</f>
        <v>0</v>
      </c>
      <c r="BT19" s="133">
        <v>33000</v>
      </c>
      <c r="BU19" s="133">
        <f>BS19*BT19</f>
        <v>0</v>
      </c>
      <c r="BV19" s="6"/>
    </row>
    <row r="20" spans="1:80" ht="12" customHeight="1">
      <c r="A20" s="5"/>
      <c r="B20" s="43"/>
      <c r="C20" s="219"/>
      <c r="D20" s="219"/>
      <c r="E20" s="219"/>
      <c r="F20" s="219"/>
      <c r="G20" s="219"/>
      <c r="H20" s="61"/>
      <c r="I20" s="44"/>
      <c r="L20" s="4"/>
      <c r="M20" s="4"/>
      <c r="X20" s="122"/>
      <c r="Y20" s="122"/>
      <c r="Z20" s="257"/>
      <c r="AA20" s="258"/>
      <c r="AB20" s="258"/>
      <c r="AC20" s="258"/>
      <c r="AD20" s="258"/>
      <c r="AE20" s="258"/>
      <c r="AF20" s="62"/>
      <c r="AG20" s="124"/>
      <c r="AK20" s="43"/>
      <c r="AL20" s="219"/>
      <c r="AM20" s="219"/>
      <c r="AN20" s="219"/>
      <c r="AO20" s="219"/>
      <c r="AP20" s="219"/>
      <c r="AQ20" s="61"/>
      <c r="AR20" s="44"/>
      <c r="AU20" s="4"/>
      <c r="AV20" s="4"/>
      <c r="BG20" s="122"/>
      <c r="BH20" s="122"/>
      <c r="BI20" s="261"/>
      <c r="BJ20" s="262"/>
      <c r="BK20" s="262"/>
      <c r="BL20" s="262"/>
      <c r="BM20" s="262"/>
      <c r="BN20" s="62"/>
      <c r="BO20" s="124"/>
    </row>
    <row r="21" spans="1:80" ht="12" customHeight="1" thickBot="1">
      <c r="A21" s="5"/>
      <c r="B21" s="45"/>
      <c r="C21" s="220"/>
      <c r="D21" s="220"/>
      <c r="E21" s="220"/>
      <c r="F21" s="220"/>
      <c r="G21" s="220"/>
      <c r="H21" s="49" t="s">
        <v>41</v>
      </c>
      <c r="I21" s="46"/>
      <c r="J21" s="98"/>
      <c r="K21" s="10"/>
      <c r="L21" s="15"/>
      <c r="M21" s="132" t="s">
        <v>36</v>
      </c>
      <c r="N21" s="120" t="s">
        <v>42</v>
      </c>
      <c r="O21" s="40"/>
      <c r="P21" s="122"/>
      <c r="Q21" s="122"/>
      <c r="R21" s="122"/>
      <c r="S21" s="122"/>
      <c r="T21" s="122"/>
      <c r="U21" s="122"/>
      <c r="V21" s="122"/>
      <c r="W21" s="122"/>
      <c r="X21" s="118"/>
      <c r="Y21" s="118"/>
      <c r="Z21" s="259"/>
      <c r="AA21" s="260"/>
      <c r="AB21" s="260"/>
      <c r="AC21" s="260"/>
      <c r="AD21" s="260"/>
      <c r="AE21" s="260"/>
      <c r="AF21" s="123" t="s">
        <v>43</v>
      </c>
      <c r="AG21" s="47"/>
      <c r="AK21" s="45"/>
      <c r="AL21" s="220"/>
      <c r="AM21" s="220"/>
      <c r="AN21" s="220"/>
      <c r="AO21" s="220"/>
      <c r="AP21" s="220"/>
      <c r="AQ21" s="49" t="s">
        <v>41</v>
      </c>
      <c r="AR21" s="46"/>
      <c r="AS21" s="98"/>
      <c r="AT21" s="10"/>
      <c r="AU21" s="15"/>
      <c r="AV21" s="132" t="s">
        <v>36</v>
      </c>
      <c r="AW21" s="120" t="s">
        <v>42</v>
      </c>
      <c r="AX21" s="40"/>
      <c r="AY21" s="122"/>
      <c r="AZ21" s="122"/>
      <c r="BA21" s="122"/>
      <c r="BB21" s="122"/>
      <c r="BC21" s="122"/>
      <c r="BD21" s="122"/>
      <c r="BE21" s="122"/>
      <c r="BF21" s="122"/>
      <c r="BG21" s="118"/>
      <c r="BH21" s="118"/>
      <c r="BI21" s="263"/>
      <c r="BJ21" s="264"/>
      <c r="BK21" s="264"/>
      <c r="BL21" s="264"/>
      <c r="BM21" s="264"/>
      <c r="BN21" s="123" t="s">
        <v>43</v>
      </c>
      <c r="BO21" s="47"/>
      <c r="BQ21" s="6"/>
      <c r="BS21" s="133">
        <f>IF(M26="□",0,1)</f>
        <v>0</v>
      </c>
      <c r="BT21" s="133">
        <v>65000</v>
      </c>
      <c r="BU21" s="133">
        <f>BS21*BT21</f>
        <v>0</v>
      </c>
    </row>
    <row r="22" spans="1:80" ht="12" customHeight="1">
      <c r="A22" s="5"/>
      <c r="B22" s="116"/>
      <c r="C22" s="116"/>
      <c r="D22" s="116"/>
      <c r="E22" s="116"/>
      <c r="F22" s="116"/>
      <c r="G22" s="116"/>
      <c r="H22" s="116"/>
      <c r="I22" s="116"/>
      <c r="J22" s="116"/>
      <c r="K22" s="116"/>
      <c r="L22" s="116"/>
      <c r="M22" s="132"/>
      <c r="N22" s="121" t="s">
        <v>44</v>
      </c>
      <c r="O22" s="4"/>
      <c r="P22" s="118"/>
      <c r="Q22" s="118"/>
      <c r="R22" s="118"/>
      <c r="S22" s="118"/>
      <c r="T22" s="118"/>
      <c r="U22" s="118"/>
      <c r="V22" s="118"/>
      <c r="W22" s="118"/>
      <c r="X22" s="116"/>
      <c r="Y22" s="116"/>
      <c r="Z22" s="116"/>
      <c r="AA22" s="116"/>
      <c r="AC22" s="6"/>
      <c r="AD22" s="5"/>
      <c r="AE22" s="6"/>
      <c r="AF22" s="6"/>
      <c r="AG22" s="6"/>
      <c r="AH22" s="6"/>
      <c r="AI22" s="6"/>
      <c r="AJ22" s="6"/>
      <c r="AK22" s="116"/>
      <c r="AL22" s="116"/>
      <c r="AM22" s="116"/>
      <c r="AN22" s="116"/>
      <c r="AO22" s="116"/>
      <c r="AP22" s="116"/>
      <c r="AQ22" s="116"/>
      <c r="AR22" s="116"/>
      <c r="AS22" s="116"/>
      <c r="AT22" s="116"/>
      <c r="AU22" s="116"/>
      <c r="AV22" s="116"/>
      <c r="AW22" s="121" t="s">
        <v>45</v>
      </c>
      <c r="AX22" s="4"/>
      <c r="AY22" s="118"/>
      <c r="AZ22" s="118"/>
      <c r="BA22" s="118"/>
      <c r="BB22" s="118"/>
      <c r="BC22" s="118"/>
      <c r="BD22" s="118"/>
      <c r="BE22" s="118"/>
      <c r="BF22" s="118"/>
      <c r="BG22" s="116"/>
      <c r="BH22" s="116"/>
      <c r="BI22" s="116"/>
      <c r="BJ22" s="116"/>
      <c r="BL22" s="6"/>
      <c r="BM22" s="5"/>
      <c r="BN22" s="6"/>
      <c r="BO22" s="6"/>
      <c r="BP22" s="6"/>
      <c r="BQ22" s="6"/>
    </row>
    <row r="23" spans="1:80" ht="12" customHeight="1">
      <c r="A23" s="5"/>
      <c r="B23" s="116"/>
      <c r="C23" s="116"/>
      <c r="D23" s="116"/>
      <c r="E23" s="116"/>
      <c r="F23" s="116"/>
      <c r="G23" s="116"/>
      <c r="H23" s="116"/>
      <c r="I23" s="116"/>
      <c r="J23" s="116"/>
      <c r="K23" s="116"/>
      <c r="L23" s="116"/>
      <c r="M23" s="4"/>
      <c r="N23" s="116"/>
      <c r="O23" s="116"/>
      <c r="P23" s="116"/>
      <c r="Q23" s="116"/>
      <c r="R23" s="116"/>
      <c r="S23" s="116"/>
      <c r="T23" s="116"/>
      <c r="U23" s="116"/>
      <c r="V23" s="116"/>
      <c r="W23" s="116"/>
      <c r="X23" s="116"/>
      <c r="Y23" s="116"/>
      <c r="Z23" s="116"/>
      <c r="AA23" s="116"/>
      <c r="AB23" s="104"/>
      <c r="AC23" s="6"/>
      <c r="AD23" s="5"/>
      <c r="AE23" s="6"/>
      <c r="AF23" s="6"/>
      <c r="AG23" s="6"/>
      <c r="AH23" s="6"/>
      <c r="AI23" s="6"/>
      <c r="AJ23" s="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04"/>
      <c r="BL23" s="6"/>
      <c r="BM23" s="5"/>
      <c r="BN23" s="6"/>
      <c r="BO23" s="6"/>
      <c r="BP23" s="6"/>
      <c r="BQ23" s="6"/>
      <c r="BS23" s="133">
        <f>IF(M29="□",0,1)</f>
        <v>0</v>
      </c>
      <c r="BT23" s="133">
        <v>43000</v>
      </c>
      <c r="BU23" s="133">
        <f>BS23*BT23</f>
        <v>0</v>
      </c>
    </row>
    <row r="24" spans="1:80" ht="12" customHeight="1">
      <c r="A24" s="5"/>
      <c r="B24" s="99"/>
      <c r="C24" s="99"/>
      <c r="D24" s="99"/>
      <c r="E24" s="99"/>
      <c r="F24" s="99"/>
      <c r="G24" s="100"/>
      <c r="H24" s="100"/>
      <c r="I24" s="99"/>
      <c r="J24" s="98"/>
      <c r="K24" s="10"/>
      <c r="L24" s="10"/>
      <c r="M24" s="5"/>
      <c r="N24" s="4"/>
      <c r="AB24" s="104"/>
      <c r="AC24" s="6"/>
      <c r="AD24" s="5"/>
      <c r="AE24" s="6"/>
      <c r="AF24" s="6"/>
      <c r="AG24" s="6"/>
      <c r="AH24" s="6"/>
      <c r="AI24" s="6"/>
      <c r="AJ24" s="6"/>
      <c r="AK24" s="12"/>
      <c r="AL24" s="6"/>
      <c r="AM24" s="6"/>
      <c r="AN24" s="6"/>
      <c r="AO24" s="6"/>
      <c r="AR24" s="6"/>
      <c r="AS24" s="6"/>
      <c r="AT24" s="6"/>
      <c r="AU24" s="104"/>
      <c r="AV24" s="104"/>
      <c r="AW24" s="104"/>
      <c r="AX24" s="104"/>
      <c r="AY24" s="104"/>
      <c r="AZ24" s="104"/>
      <c r="BA24" s="104"/>
      <c r="BB24" s="104"/>
      <c r="BC24" s="104"/>
      <c r="BD24" s="104"/>
      <c r="BE24" s="104"/>
      <c r="BF24" s="104"/>
      <c r="BG24" s="104"/>
      <c r="BH24" s="104"/>
      <c r="BI24" s="4"/>
      <c r="BJ24" s="4"/>
      <c r="BK24" s="4"/>
      <c r="BL24" s="4"/>
      <c r="BM24" s="4"/>
      <c r="BN24" s="4"/>
      <c r="BO24" s="4"/>
      <c r="BP24" s="4"/>
      <c r="BQ24" s="4"/>
    </row>
    <row r="25" spans="1:80" ht="12" customHeight="1" thickBot="1">
      <c r="A25" s="5"/>
      <c r="B25" s="125" t="s">
        <v>46</v>
      </c>
      <c r="C25" s="48"/>
      <c r="D25" s="48"/>
      <c r="E25" s="48"/>
      <c r="F25" s="48"/>
      <c r="G25" s="48"/>
      <c r="H25" s="48"/>
      <c r="I25" s="48"/>
      <c r="J25" s="5"/>
      <c r="K25" s="5"/>
      <c r="L25" s="5"/>
      <c r="M25" s="5"/>
      <c r="N25" s="10" t="s">
        <v>30</v>
      </c>
      <c r="O25" s="11"/>
      <c r="Q25" s="10"/>
      <c r="T25" s="5"/>
      <c r="U25" s="5"/>
      <c r="V25" s="5"/>
      <c r="W25" s="5"/>
      <c r="X25" s="31"/>
      <c r="Y25" s="31"/>
      <c r="Z25" s="70" t="s">
        <v>47</v>
      </c>
      <c r="AD25" s="38"/>
      <c r="AE25" s="38"/>
      <c r="AF25" s="38"/>
      <c r="AG25" s="38"/>
      <c r="AH25" s="31"/>
      <c r="AI25" s="6"/>
      <c r="AJ25" s="12"/>
      <c r="AK25" s="125" t="s">
        <v>48</v>
      </c>
      <c r="AL25" s="48"/>
      <c r="AM25" s="48"/>
      <c r="AN25" s="48"/>
      <c r="AO25" s="48"/>
      <c r="AP25" s="48"/>
      <c r="AQ25" s="48"/>
      <c r="AR25" s="48"/>
      <c r="AS25" s="5"/>
      <c r="AT25" s="5"/>
      <c r="AU25" s="5"/>
      <c r="AV25" s="5"/>
      <c r="AW25" s="10" t="s">
        <v>30</v>
      </c>
      <c r="AX25" s="11"/>
      <c r="AZ25" s="10"/>
      <c r="BC25" s="5"/>
      <c r="BD25" s="5"/>
      <c r="BE25" s="5"/>
      <c r="BF25" s="5"/>
      <c r="BG25" s="31"/>
      <c r="BH25" s="31"/>
      <c r="BI25" s="70" t="s">
        <v>49</v>
      </c>
      <c r="BM25" s="38"/>
      <c r="BN25" s="38"/>
      <c r="BO25" s="38"/>
      <c r="BP25" s="31"/>
      <c r="BQ25" s="31"/>
      <c r="BS25" s="133">
        <f>IF(AV26="□",0,1)</f>
        <v>0</v>
      </c>
      <c r="BT25" s="133">
        <v>70000</v>
      </c>
      <c r="BU25" s="133">
        <f>BS25*BT25</f>
        <v>0</v>
      </c>
    </row>
    <row r="26" spans="1:80" ht="12" customHeight="1" thickTop="1">
      <c r="A26" s="5"/>
      <c r="B26" s="73" t="s">
        <v>34</v>
      </c>
      <c r="C26" s="41"/>
      <c r="D26" s="41"/>
      <c r="E26" s="41"/>
      <c r="F26" s="41"/>
      <c r="G26" s="41"/>
      <c r="H26" s="41"/>
      <c r="I26" s="42"/>
      <c r="J26" s="5"/>
      <c r="K26" s="5"/>
      <c r="L26" s="4"/>
      <c r="M26" s="132" t="s">
        <v>36</v>
      </c>
      <c r="N26" s="120" t="s">
        <v>35</v>
      </c>
      <c r="O26" s="39"/>
      <c r="P26" s="101"/>
      <c r="Q26" s="102"/>
      <c r="R26" s="103"/>
      <c r="S26" s="103"/>
      <c r="T26" s="103"/>
      <c r="U26" s="103"/>
      <c r="V26" s="103"/>
      <c r="W26" s="103"/>
      <c r="X26" s="103"/>
      <c r="Y26" s="103"/>
      <c r="Z26" s="50"/>
      <c r="AA26" s="51"/>
      <c r="AB26" s="51"/>
      <c r="AC26" s="51"/>
      <c r="AD26" s="51"/>
      <c r="AE26" s="51"/>
      <c r="AF26" s="51"/>
      <c r="AG26" s="52"/>
      <c r="AJ26" s="12"/>
      <c r="AK26" s="73" t="s">
        <v>34</v>
      </c>
      <c r="AL26" s="41"/>
      <c r="AM26" s="41"/>
      <c r="AN26" s="41"/>
      <c r="AO26" s="41"/>
      <c r="AP26" s="41"/>
      <c r="AQ26" s="41"/>
      <c r="AR26" s="42"/>
      <c r="AS26" s="5"/>
      <c r="AT26" s="5"/>
      <c r="AU26" s="4"/>
      <c r="AV26" s="132" t="s">
        <v>36</v>
      </c>
      <c r="AW26" s="120" t="s">
        <v>35</v>
      </c>
      <c r="AX26" s="39"/>
      <c r="AY26" s="101"/>
      <c r="AZ26" s="102"/>
      <c r="BA26" s="103"/>
      <c r="BB26" s="103"/>
      <c r="BC26" s="103"/>
      <c r="BD26" s="103"/>
      <c r="BE26" s="103"/>
      <c r="BF26" s="103"/>
      <c r="BG26" s="103"/>
      <c r="BH26" s="103"/>
      <c r="BI26" s="50"/>
      <c r="BJ26" s="51"/>
      <c r="BK26" s="51"/>
      <c r="BL26" s="51"/>
      <c r="BM26" s="51"/>
      <c r="BN26" s="51"/>
      <c r="BO26" s="52"/>
      <c r="BP26" s="37"/>
    </row>
    <row r="27" spans="1:80" ht="12" customHeight="1">
      <c r="A27" s="21"/>
      <c r="B27" s="109"/>
      <c r="I27" s="110"/>
      <c r="J27" s="5"/>
      <c r="K27" s="25" t="s">
        <v>37</v>
      </c>
      <c r="L27" s="4"/>
      <c r="M27" s="4"/>
      <c r="N27" s="121" t="s">
        <v>50</v>
      </c>
      <c r="O27" s="6"/>
      <c r="P27" s="119"/>
      <c r="Q27" s="119"/>
      <c r="R27" s="119"/>
      <c r="S27" s="119"/>
      <c r="T27" s="119"/>
      <c r="U27" s="119"/>
      <c r="V27" s="119"/>
      <c r="W27" s="119"/>
      <c r="X27" s="5" t="s">
        <v>39</v>
      </c>
      <c r="Y27" s="119"/>
      <c r="Z27" s="261">
        <f>C28*SUM(BU21,BU23)</f>
        <v>0</v>
      </c>
      <c r="AA27" s="262"/>
      <c r="AB27" s="262"/>
      <c r="AC27" s="262"/>
      <c r="AD27" s="262"/>
      <c r="AE27" s="262"/>
      <c r="AG27" s="108"/>
      <c r="AJ27" s="12"/>
      <c r="AK27" s="109"/>
      <c r="AR27" s="110"/>
      <c r="AS27" s="5"/>
      <c r="AT27" s="25" t="s">
        <v>37</v>
      </c>
      <c r="AU27" s="4"/>
      <c r="AV27" s="4"/>
      <c r="AW27" s="121" t="s">
        <v>51</v>
      </c>
      <c r="AX27" s="6"/>
      <c r="AY27" s="119"/>
      <c r="AZ27" s="119"/>
      <c r="BA27" s="119"/>
      <c r="BB27" s="119"/>
      <c r="BC27" s="119"/>
      <c r="BD27" s="119"/>
      <c r="BE27" s="119"/>
      <c r="BF27" s="119"/>
      <c r="BG27" s="5" t="s">
        <v>39</v>
      </c>
      <c r="BH27" s="119"/>
      <c r="BI27" s="261">
        <f>AL28*SUM(BU25,BU27)</f>
        <v>0</v>
      </c>
      <c r="BJ27" s="262"/>
      <c r="BK27" s="262"/>
      <c r="BL27" s="262"/>
      <c r="BM27" s="262"/>
      <c r="BO27" s="108"/>
      <c r="BS27" s="133">
        <f>IF(AV29="□",0,1)</f>
        <v>0</v>
      </c>
      <c r="BT27" s="133">
        <v>46000</v>
      </c>
      <c r="BU27" s="133">
        <f>BS27*BT27</f>
        <v>0</v>
      </c>
    </row>
    <row r="28" spans="1:80" ht="12" customHeight="1">
      <c r="A28" s="5"/>
      <c r="B28" s="43"/>
      <c r="C28" s="219"/>
      <c r="D28" s="219"/>
      <c r="E28" s="219"/>
      <c r="F28" s="219"/>
      <c r="G28" s="219"/>
      <c r="H28" s="61"/>
      <c r="I28" s="44"/>
      <c r="L28" s="4"/>
      <c r="M28" s="4"/>
      <c r="X28" s="122"/>
      <c r="Y28" s="122"/>
      <c r="Z28" s="261"/>
      <c r="AA28" s="262"/>
      <c r="AB28" s="262"/>
      <c r="AC28" s="262"/>
      <c r="AD28" s="262"/>
      <c r="AE28" s="262"/>
      <c r="AF28" s="62"/>
      <c r="AG28" s="124"/>
      <c r="AJ28" s="12"/>
      <c r="AK28" s="43"/>
      <c r="AL28" s="219"/>
      <c r="AM28" s="219"/>
      <c r="AN28" s="219"/>
      <c r="AO28" s="219"/>
      <c r="AP28" s="219"/>
      <c r="AQ28" s="61"/>
      <c r="AR28" s="44"/>
      <c r="AU28" s="4"/>
      <c r="AV28" s="4"/>
      <c r="BG28" s="122"/>
      <c r="BH28" s="122"/>
      <c r="BI28" s="261"/>
      <c r="BJ28" s="262"/>
      <c r="BK28" s="262"/>
      <c r="BL28" s="262"/>
      <c r="BM28" s="262"/>
      <c r="BN28" s="62"/>
      <c r="BO28" s="124"/>
    </row>
    <row r="29" spans="1:80" ht="12" customHeight="1" thickBot="1">
      <c r="A29" s="4"/>
      <c r="B29" s="45"/>
      <c r="C29" s="220"/>
      <c r="D29" s="220"/>
      <c r="E29" s="220"/>
      <c r="F29" s="220"/>
      <c r="G29" s="220"/>
      <c r="H29" s="49" t="s">
        <v>41</v>
      </c>
      <c r="I29" s="46"/>
      <c r="J29" s="98"/>
      <c r="K29" s="10"/>
      <c r="L29" s="15"/>
      <c r="M29" s="132" t="s">
        <v>36</v>
      </c>
      <c r="N29" s="120" t="s">
        <v>42</v>
      </c>
      <c r="O29" s="40"/>
      <c r="P29" s="122"/>
      <c r="Q29" s="122"/>
      <c r="R29" s="122"/>
      <c r="S29" s="122"/>
      <c r="T29" s="122"/>
      <c r="U29" s="122"/>
      <c r="V29" s="122"/>
      <c r="W29" s="122"/>
      <c r="X29" s="118"/>
      <c r="Y29" s="118"/>
      <c r="Z29" s="263"/>
      <c r="AA29" s="264"/>
      <c r="AB29" s="264"/>
      <c r="AC29" s="264"/>
      <c r="AD29" s="264"/>
      <c r="AE29" s="264"/>
      <c r="AF29" s="123" t="s">
        <v>43</v>
      </c>
      <c r="AG29" s="47"/>
      <c r="AI29" s="32"/>
      <c r="AJ29" s="12"/>
      <c r="AK29" s="45"/>
      <c r="AL29" s="220"/>
      <c r="AM29" s="220"/>
      <c r="AN29" s="220"/>
      <c r="AO29" s="220"/>
      <c r="AP29" s="220"/>
      <c r="AQ29" s="49" t="s">
        <v>41</v>
      </c>
      <c r="AR29" s="46"/>
      <c r="AS29" s="98"/>
      <c r="AT29" s="10"/>
      <c r="AU29" s="15"/>
      <c r="AV29" s="132" t="s">
        <v>36</v>
      </c>
      <c r="AW29" s="120" t="s">
        <v>42</v>
      </c>
      <c r="AX29" s="40"/>
      <c r="AY29" s="122"/>
      <c r="AZ29" s="122"/>
      <c r="BA29" s="122"/>
      <c r="BB29" s="122"/>
      <c r="BC29" s="122"/>
      <c r="BD29" s="122"/>
      <c r="BE29" s="122"/>
      <c r="BF29" s="122"/>
      <c r="BG29" s="118"/>
      <c r="BH29" s="118"/>
      <c r="BI29" s="263"/>
      <c r="BJ29" s="264"/>
      <c r="BK29" s="264"/>
      <c r="BL29" s="264"/>
      <c r="BM29" s="264"/>
      <c r="BN29" s="123" t="s">
        <v>43</v>
      </c>
      <c r="BO29" s="47"/>
      <c r="BR29" s="4"/>
      <c r="BS29" s="4"/>
    </row>
    <row r="30" spans="1:80" ht="12" customHeight="1">
      <c r="A30" s="5"/>
      <c r="B30" s="116"/>
      <c r="C30" s="116"/>
      <c r="D30" s="116"/>
      <c r="E30" s="116"/>
      <c r="F30" s="116"/>
      <c r="G30" s="116"/>
      <c r="H30" s="116"/>
      <c r="I30" s="116"/>
      <c r="J30" s="116"/>
      <c r="K30" s="116"/>
      <c r="L30" s="116"/>
      <c r="M30" s="4"/>
      <c r="N30" s="121" t="s">
        <v>52</v>
      </c>
      <c r="O30" s="4"/>
      <c r="P30" s="118"/>
      <c r="Q30" s="118"/>
      <c r="R30" s="118"/>
      <c r="S30" s="118"/>
      <c r="T30" s="118"/>
      <c r="U30" s="118"/>
      <c r="V30" s="118"/>
      <c r="W30" s="118"/>
      <c r="X30" s="116"/>
      <c r="Y30" s="116"/>
      <c r="Z30" s="116"/>
      <c r="AA30" s="116"/>
      <c r="AC30" s="6"/>
      <c r="AD30" s="5"/>
      <c r="AE30" s="6"/>
      <c r="AF30" s="6"/>
      <c r="AG30" s="6"/>
      <c r="AH30" s="6"/>
      <c r="AJ30" s="12"/>
      <c r="AK30" s="116"/>
      <c r="AL30" s="116"/>
      <c r="AM30" s="116"/>
      <c r="AN30" s="116"/>
      <c r="AO30" s="116"/>
      <c r="AP30" s="116"/>
      <c r="AQ30" s="116"/>
      <c r="AR30" s="116"/>
      <c r="AS30" s="116"/>
      <c r="AT30" s="116"/>
      <c r="AU30" s="116"/>
      <c r="AV30" s="4"/>
      <c r="AW30" s="121" t="s">
        <v>53</v>
      </c>
      <c r="AX30" s="4"/>
      <c r="AY30" s="118"/>
      <c r="AZ30" s="118"/>
      <c r="BA30" s="118"/>
      <c r="BB30" s="118"/>
      <c r="BC30" s="118"/>
      <c r="BD30" s="118"/>
      <c r="BE30" s="118"/>
      <c r="BF30" s="118"/>
      <c r="BG30" s="116"/>
      <c r="BH30" s="116"/>
      <c r="BI30" s="116"/>
      <c r="BJ30" s="116"/>
      <c r="BL30" s="6"/>
      <c r="BM30" s="5"/>
      <c r="BN30" s="6"/>
      <c r="BO30" s="6"/>
      <c r="BP30" s="6"/>
      <c r="BQ30" s="6"/>
      <c r="BR30" s="4"/>
      <c r="BS30" s="4"/>
      <c r="BT30" s="4"/>
    </row>
    <row r="31" spans="1:80" ht="12" customHeight="1">
      <c r="A31" s="5"/>
      <c r="B31" s="116"/>
      <c r="C31" s="116"/>
      <c r="D31" s="116"/>
      <c r="E31" s="116"/>
      <c r="F31" s="116"/>
      <c r="G31" s="116"/>
      <c r="H31" s="116"/>
      <c r="I31" s="116"/>
      <c r="J31" s="116"/>
      <c r="K31" s="116"/>
      <c r="L31" s="116"/>
      <c r="M31" s="4"/>
      <c r="N31" s="121"/>
      <c r="O31" s="4"/>
      <c r="P31" s="118"/>
      <c r="Q31" s="118"/>
      <c r="R31" s="118"/>
      <c r="S31" s="118"/>
      <c r="T31" s="118"/>
      <c r="U31" s="118"/>
      <c r="V31" s="118"/>
      <c r="W31" s="118"/>
      <c r="X31" s="116"/>
      <c r="Y31" s="116"/>
      <c r="Z31" s="116"/>
      <c r="AA31" s="116"/>
      <c r="AC31" s="6"/>
      <c r="AD31" s="5"/>
      <c r="AE31" s="6"/>
      <c r="AF31" s="6"/>
      <c r="AG31" s="6"/>
      <c r="AH31" s="6"/>
      <c r="AJ31" s="12"/>
      <c r="AK31" s="116"/>
      <c r="AL31" s="116"/>
      <c r="AM31" s="116"/>
      <c r="AN31" s="116"/>
      <c r="AO31" s="116"/>
      <c r="AP31" s="116"/>
      <c r="AQ31" s="116"/>
      <c r="AR31" s="116"/>
      <c r="AS31" s="116"/>
      <c r="AT31" s="116"/>
      <c r="AU31" s="116"/>
      <c r="AV31" s="4"/>
      <c r="AW31" s="121"/>
      <c r="AX31" s="4"/>
      <c r="AY31" s="118"/>
      <c r="AZ31" s="118"/>
      <c r="BA31" s="118"/>
      <c r="BB31" s="118"/>
      <c r="BC31" s="118"/>
      <c r="BD31" s="118"/>
      <c r="BE31" s="118"/>
      <c r="BF31" s="118"/>
      <c r="BG31" s="116"/>
      <c r="BH31" s="116"/>
      <c r="BI31" s="116"/>
      <c r="BJ31" s="116"/>
      <c r="BL31" s="6"/>
      <c r="BM31" s="5"/>
      <c r="BN31" s="6"/>
      <c r="BO31" s="6"/>
      <c r="BP31" s="6"/>
      <c r="BQ31" s="6"/>
      <c r="BR31" s="4"/>
      <c r="BS31" s="133">
        <f>IF(D34="□",0,1)</f>
        <v>0</v>
      </c>
      <c r="BT31" s="133">
        <v>200000</v>
      </c>
      <c r="BU31" s="133">
        <f>BS31*BT31</f>
        <v>0</v>
      </c>
    </row>
    <row r="32" spans="1:80" ht="12" customHeight="1">
      <c r="A32" s="5"/>
      <c r="B32" s="115" t="s">
        <v>54</v>
      </c>
      <c r="AJ32" s="115" t="s">
        <v>55</v>
      </c>
      <c r="AV32" s="4"/>
      <c r="BR32" s="4"/>
      <c r="BS32" s="4"/>
      <c r="BU32" s="4"/>
    </row>
    <row r="33" spans="1:73" ht="12" customHeight="1">
      <c r="A33" s="5"/>
      <c r="E33" s="10" t="s">
        <v>56</v>
      </c>
      <c r="F33" s="18"/>
      <c r="G33" s="58"/>
      <c r="H33" s="58"/>
      <c r="I33" s="58"/>
      <c r="J33" s="58"/>
      <c r="K33" s="58"/>
      <c r="L33" s="58"/>
      <c r="M33" s="58"/>
      <c r="N33" s="58"/>
      <c r="O33" s="58"/>
      <c r="AS33" s="10" t="s">
        <v>56</v>
      </c>
      <c r="AT33" s="18"/>
      <c r="AU33" s="58"/>
      <c r="AV33" s="58"/>
      <c r="AW33" s="58"/>
      <c r="AX33" s="58"/>
      <c r="AY33" s="58"/>
      <c r="AZ33" s="58"/>
      <c r="BA33" s="58"/>
      <c r="BB33" s="58"/>
      <c r="BC33" s="58"/>
      <c r="BL33" s="29"/>
      <c r="BR33" s="4"/>
      <c r="BS33" s="133">
        <f>IF(D37="□",0,1)</f>
        <v>0</v>
      </c>
      <c r="BT33" s="133">
        <v>150000</v>
      </c>
      <c r="BU33" s="133">
        <f>BS33*BT33</f>
        <v>0</v>
      </c>
    </row>
    <row r="34" spans="1:73" ht="12" customHeight="1" thickBot="1">
      <c r="A34" s="5"/>
      <c r="D34" s="132" t="s">
        <v>36</v>
      </c>
      <c r="F34" s="120" t="s">
        <v>35</v>
      </c>
      <c r="G34" s="39"/>
      <c r="H34" s="101"/>
      <c r="I34" s="102"/>
      <c r="J34" s="103"/>
      <c r="K34" s="103"/>
      <c r="L34" s="103"/>
      <c r="M34" s="103"/>
      <c r="N34" s="103"/>
      <c r="O34" s="58"/>
      <c r="R34" s="72" t="s">
        <v>57</v>
      </c>
      <c r="S34" s="69"/>
      <c r="X34" s="31"/>
      <c r="Y34" s="31"/>
      <c r="AR34" s="132" t="s">
        <v>36</v>
      </c>
      <c r="AT34" s="120" t="s">
        <v>35</v>
      </c>
      <c r="AU34" s="39"/>
      <c r="AV34" s="101"/>
      <c r="AW34" s="102"/>
      <c r="AX34" s="103"/>
      <c r="AY34" s="103"/>
      <c r="AZ34" s="103"/>
      <c r="BA34" s="103"/>
      <c r="BB34" s="103"/>
      <c r="BC34" s="58"/>
      <c r="BF34" s="72" t="s">
        <v>58</v>
      </c>
      <c r="BG34" s="69"/>
      <c r="BL34" s="31"/>
      <c r="BM34" s="31"/>
      <c r="BR34" s="4"/>
      <c r="BS34" s="4"/>
      <c r="BT34" s="4"/>
      <c r="BU34" s="4"/>
    </row>
    <row r="35" spans="1:73" ht="12" customHeight="1" thickTop="1">
      <c r="A35" s="5"/>
      <c r="D35" s="4"/>
      <c r="F35" s="121" t="s">
        <v>59</v>
      </c>
      <c r="G35" s="6"/>
      <c r="H35" s="119"/>
      <c r="I35" s="119"/>
      <c r="J35" s="119"/>
      <c r="K35" s="119"/>
      <c r="L35" s="119"/>
      <c r="M35" s="119"/>
      <c r="N35" s="119"/>
      <c r="O35" s="117"/>
      <c r="R35" s="54"/>
      <c r="S35" s="36"/>
      <c r="T35" s="36"/>
      <c r="U35" s="36"/>
      <c r="V35" s="36"/>
      <c r="W35" s="36"/>
      <c r="X35" s="36"/>
      <c r="Y35" s="36"/>
      <c r="Z35" s="35"/>
      <c r="AA35" s="4"/>
      <c r="AD35" s="4"/>
      <c r="AE35" s="4"/>
      <c r="AF35" s="4"/>
      <c r="AG35" s="4"/>
      <c r="AH35" s="4"/>
      <c r="AI35" s="4"/>
      <c r="AJ35" s="4"/>
      <c r="AK35" s="4"/>
      <c r="AL35" s="4"/>
      <c r="AM35" s="4"/>
      <c r="AN35" s="4"/>
      <c r="AO35" s="4"/>
      <c r="AP35" s="112"/>
      <c r="AQ35" s="112"/>
      <c r="AR35" s="4"/>
      <c r="AT35" s="121" t="s">
        <v>59</v>
      </c>
      <c r="AU35" s="6"/>
      <c r="AV35" s="119"/>
      <c r="AW35" s="119"/>
      <c r="AX35" s="119"/>
      <c r="AY35" s="119"/>
      <c r="AZ35" s="119"/>
      <c r="BA35" s="119"/>
      <c r="BB35" s="119"/>
      <c r="BC35" s="117"/>
      <c r="BF35" s="136"/>
      <c r="BG35" s="137"/>
      <c r="BH35" s="137"/>
      <c r="BI35" s="137"/>
      <c r="BJ35" s="137"/>
      <c r="BK35" s="137"/>
      <c r="BL35" s="138"/>
      <c r="BM35" s="126"/>
      <c r="BO35" s="4"/>
      <c r="BR35" s="4"/>
      <c r="BS35" s="133">
        <f>IF(AR34="□",0,1)</f>
        <v>0</v>
      </c>
      <c r="BT35" s="133">
        <v>200000</v>
      </c>
      <c r="BU35" s="133">
        <f>BS35*BT35</f>
        <v>0</v>
      </c>
    </row>
    <row r="36" spans="1:73" ht="12" customHeight="1">
      <c r="A36" s="5"/>
      <c r="D36" s="4"/>
      <c r="N36" s="5" t="s">
        <v>39</v>
      </c>
      <c r="O36" s="5"/>
      <c r="R36" s="205">
        <f>SUM(BU31,BU33)</f>
        <v>0</v>
      </c>
      <c r="S36" s="206"/>
      <c r="T36" s="206"/>
      <c r="U36" s="206"/>
      <c r="V36" s="206"/>
      <c r="W36" s="206"/>
      <c r="X36"/>
      <c r="Z36" s="108"/>
      <c r="AA36" s="4"/>
      <c r="AD36" s="4"/>
      <c r="AE36" s="4"/>
      <c r="AF36" s="4"/>
      <c r="AG36" s="4"/>
      <c r="AH36" s="4"/>
      <c r="AI36" s="4"/>
      <c r="AJ36" s="4"/>
      <c r="AK36" s="4"/>
      <c r="AL36" s="4"/>
      <c r="AM36" s="4"/>
      <c r="AN36" s="4"/>
      <c r="AO36" s="4"/>
      <c r="AP36" s="112"/>
      <c r="AQ36" s="112"/>
      <c r="AR36" s="4"/>
      <c r="BB36" s="5" t="s">
        <v>39</v>
      </c>
      <c r="BC36" s="5"/>
      <c r="BF36" s="215">
        <f>SUM(BU35,BU37)</f>
        <v>0</v>
      </c>
      <c r="BG36" s="216"/>
      <c r="BH36" s="216"/>
      <c r="BI36" s="216"/>
      <c r="BJ36" s="216"/>
      <c r="BK36" s="127"/>
      <c r="BL36" s="139"/>
      <c r="BM36" s="126"/>
      <c r="BO36" s="4"/>
      <c r="BR36" s="4"/>
      <c r="BS36" s="4"/>
      <c r="BT36" s="4"/>
      <c r="BU36" s="4"/>
    </row>
    <row r="37" spans="1:73" ht="12" customHeight="1">
      <c r="A37" s="5"/>
      <c r="D37" s="132" t="s">
        <v>36</v>
      </c>
      <c r="F37" s="120" t="s">
        <v>42</v>
      </c>
      <c r="G37" s="40"/>
      <c r="H37" s="122"/>
      <c r="I37" s="122"/>
      <c r="J37" s="122"/>
      <c r="K37" s="122"/>
      <c r="L37" s="122"/>
      <c r="M37" s="122"/>
      <c r="N37" s="122"/>
      <c r="O37" s="118"/>
      <c r="R37" s="205"/>
      <c r="S37" s="206"/>
      <c r="T37" s="206"/>
      <c r="U37" s="206"/>
      <c r="V37" s="206"/>
      <c r="W37" s="206"/>
      <c r="X37" s="114"/>
      <c r="Y37" s="114"/>
      <c r="Z37" s="53"/>
      <c r="AA37" s="4"/>
      <c r="AD37" s="4"/>
      <c r="AE37" s="4"/>
      <c r="AF37" s="4"/>
      <c r="AG37" s="4"/>
      <c r="AH37" s="4"/>
      <c r="AI37" s="4"/>
      <c r="AJ37" s="4"/>
      <c r="AK37" s="4"/>
      <c r="AL37" s="4"/>
      <c r="AM37" s="4"/>
      <c r="AN37" s="4"/>
      <c r="AO37" s="4"/>
      <c r="AP37" s="112"/>
      <c r="AQ37" s="112"/>
      <c r="AR37" s="132" t="s">
        <v>36</v>
      </c>
      <c r="AT37" s="120" t="s">
        <v>42</v>
      </c>
      <c r="AU37" s="40"/>
      <c r="AV37" s="122"/>
      <c r="AW37" s="122"/>
      <c r="AX37" s="122"/>
      <c r="AY37" s="122"/>
      <c r="AZ37" s="122"/>
      <c r="BA37" s="122"/>
      <c r="BB37" s="122"/>
      <c r="BC37" s="118"/>
      <c r="BF37" s="215"/>
      <c r="BG37" s="216"/>
      <c r="BH37" s="216"/>
      <c r="BI37" s="216"/>
      <c r="BJ37" s="216"/>
      <c r="BK37" s="127"/>
      <c r="BL37" s="139"/>
      <c r="BM37" s="127"/>
      <c r="BO37" s="4"/>
      <c r="BR37" s="4"/>
      <c r="BS37" s="133">
        <f>IF(AR37="□",0,1)</f>
        <v>0</v>
      </c>
      <c r="BT37" s="133">
        <v>150000</v>
      </c>
      <c r="BU37" s="133">
        <f>BS37*BT37</f>
        <v>0</v>
      </c>
    </row>
    <row r="38" spans="1:73" ht="12" customHeight="1" thickBot="1">
      <c r="A38" s="5"/>
      <c r="D38" s="4"/>
      <c r="F38" s="142" t="s">
        <v>60</v>
      </c>
      <c r="G38" s="141"/>
      <c r="H38" s="118"/>
      <c r="I38" s="118"/>
      <c r="J38" s="118"/>
      <c r="K38" s="118"/>
      <c r="L38" s="118"/>
      <c r="M38" s="118"/>
      <c r="N38" s="118"/>
      <c r="R38" s="207"/>
      <c r="S38" s="208"/>
      <c r="T38" s="208"/>
      <c r="U38" s="208"/>
      <c r="V38" s="208"/>
      <c r="W38" s="208"/>
      <c r="X38" s="134" t="s">
        <v>61</v>
      </c>
      <c r="Y38" s="134"/>
      <c r="Z38" s="47"/>
      <c r="AA38" s="4"/>
      <c r="AD38" s="4"/>
      <c r="AE38" s="4"/>
      <c r="AR38" s="4"/>
      <c r="AT38" s="121" t="s">
        <v>60</v>
      </c>
      <c r="AU38" s="4"/>
      <c r="AV38" s="118"/>
      <c r="AW38" s="118"/>
      <c r="AX38" s="118"/>
      <c r="AY38" s="118"/>
      <c r="AZ38" s="118"/>
      <c r="BA38" s="118"/>
      <c r="BB38" s="118"/>
      <c r="BF38" s="217"/>
      <c r="BG38" s="218"/>
      <c r="BH38" s="218"/>
      <c r="BI38" s="218"/>
      <c r="BJ38" s="218"/>
      <c r="BK38" s="134" t="s">
        <v>61</v>
      </c>
      <c r="BL38" s="140"/>
      <c r="BM38" s="126"/>
      <c r="BO38" s="4"/>
      <c r="BR38" s="4"/>
      <c r="BS38" s="4"/>
      <c r="BT38" s="4"/>
    </row>
    <row r="39" spans="1:73" ht="12" customHeight="1" thickTop="1" thickBot="1">
      <c r="A39" s="5"/>
      <c r="D39" s="4"/>
      <c r="F39" s="121"/>
      <c r="G39" s="4"/>
      <c r="H39" s="118"/>
      <c r="I39" s="118"/>
      <c r="J39" s="118"/>
      <c r="K39" s="118"/>
      <c r="L39" s="118"/>
      <c r="M39" s="118"/>
      <c r="N39" s="118"/>
      <c r="R39" s="4"/>
      <c r="S39" s="130"/>
      <c r="T39" s="130"/>
      <c r="U39" s="130"/>
      <c r="V39" s="130"/>
      <c r="W39" s="130"/>
      <c r="X39" s="135"/>
      <c r="Y39" s="135"/>
      <c r="Z39" s="111"/>
      <c r="AA39" s="4"/>
      <c r="AD39" s="4"/>
      <c r="AE39" s="4"/>
      <c r="AR39" s="4"/>
      <c r="AT39" s="121"/>
      <c r="AU39" s="4"/>
      <c r="AV39" s="118"/>
      <c r="AW39" s="118"/>
      <c r="AX39" s="118"/>
      <c r="AY39" s="118"/>
      <c r="AZ39" s="118"/>
      <c r="BA39" s="118"/>
      <c r="BB39" s="118"/>
      <c r="BF39" s="4"/>
      <c r="BG39" s="130"/>
      <c r="BH39" s="130"/>
      <c r="BI39" s="130"/>
      <c r="BJ39" s="130"/>
      <c r="BK39" s="130"/>
      <c r="BL39" s="135"/>
      <c r="BM39" s="135"/>
      <c r="BN39" s="111"/>
      <c r="BO39" s="4"/>
      <c r="BR39" s="4"/>
      <c r="BS39" s="4"/>
      <c r="BT39" s="4"/>
    </row>
    <row r="40" spans="1:73" ht="6" customHeight="1" thickTop="1">
      <c r="A40" s="5"/>
      <c r="B40" s="116"/>
      <c r="T40" s="118"/>
      <c r="U40" s="116"/>
      <c r="V40" s="116"/>
      <c r="W40" s="116"/>
      <c r="X40" s="116"/>
      <c r="Y40" s="116"/>
      <c r="Z40" s="116"/>
      <c r="AA40" s="116"/>
      <c r="AC40" s="5"/>
      <c r="AD40" s="5"/>
      <c r="AE40" s="5"/>
      <c r="AF40" s="5"/>
      <c r="AG40" s="25"/>
      <c r="AH40" s="5"/>
      <c r="AI40" s="5"/>
      <c r="AJ40" s="5"/>
      <c r="AK40" s="5"/>
      <c r="AL40" s="5"/>
      <c r="AM40" s="5"/>
      <c r="AN40" s="5"/>
      <c r="AO40" s="5"/>
      <c r="AP40" s="5"/>
      <c r="AQ40" s="5"/>
      <c r="AR40" s="5"/>
      <c r="AS40" s="5"/>
      <c r="AT40" s="5"/>
      <c r="AU40" s="5"/>
      <c r="AV40" s="5"/>
      <c r="AW40" s="5"/>
      <c r="AX40" s="5"/>
      <c r="AY40" s="5"/>
      <c r="AZ40" s="5"/>
      <c r="BA40" s="54"/>
      <c r="BB40" s="105"/>
      <c r="BC40" s="105"/>
      <c r="BD40" s="105"/>
      <c r="BE40" s="105"/>
      <c r="BF40" s="105"/>
      <c r="BG40" s="105"/>
      <c r="BH40" s="105"/>
      <c r="BI40" s="105"/>
      <c r="BJ40" s="105"/>
      <c r="BK40" s="105"/>
      <c r="BL40" s="105"/>
      <c r="BM40" s="105"/>
      <c r="BN40" s="105"/>
      <c r="BO40" s="105"/>
      <c r="BP40" s="106"/>
    </row>
    <row r="41" spans="1:73" ht="12" customHeight="1">
      <c r="A41" s="5"/>
      <c r="B41" s="15"/>
      <c r="Q41" s="111" t="s">
        <v>94</v>
      </c>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268">
        <f>SUM(Z19,BI19,Z27,BI27,R36,BF36)</f>
        <v>0</v>
      </c>
      <c r="BB41" s="269"/>
      <c r="BC41" s="269"/>
      <c r="BD41" s="269"/>
      <c r="BE41" s="269"/>
      <c r="BF41" s="269"/>
      <c r="BG41" s="269"/>
      <c r="BH41" s="269"/>
      <c r="BI41" s="269"/>
      <c r="BJ41" s="269"/>
      <c r="BK41" s="269"/>
      <c r="BL41" s="269"/>
      <c r="BM41" s="269"/>
      <c r="BN41" s="269"/>
      <c r="BO41" s="62"/>
      <c r="BP41" s="107"/>
    </row>
    <row r="42" spans="1:73" ht="21" customHeight="1" thickBot="1">
      <c r="A42" s="5"/>
      <c r="C42" s="18"/>
      <c r="D42" s="18"/>
      <c r="E42" s="58"/>
      <c r="F42" s="58"/>
      <c r="G42" s="58"/>
      <c r="H42" s="58"/>
      <c r="I42" s="58"/>
      <c r="J42" s="58"/>
      <c r="K42" s="58"/>
      <c r="L42" s="58"/>
      <c r="AA42" s="111"/>
      <c r="AB42" s="4"/>
      <c r="AC42" s="4"/>
      <c r="AD42" s="4"/>
      <c r="AE42" s="4"/>
      <c r="AF42" s="4"/>
      <c r="AG42" s="4"/>
      <c r="AH42" s="4"/>
      <c r="AI42" s="4"/>
      <c r="AJ42" s="4"/>
      <c r="AK42" s="4"/>
      <c r="AL42" s="4"/>
      <c r="AM42" s="4"/>
      <c r="AN42" s="4"/>
      <c r="AO42" s="112"/>
      <c r="AP42" s="112"/>
      <c r="AQ42" s="112"/>
      <c r="AR42" s="112"/>
      <c r="AS42" s="112"/>
      <c r="AT42" s="112"/>
      <c r="AU42" s="112"/>
      <c r="AV42" s="112"/>
      <c r="AW42" s="112"/>
      <c r="AX42" s="63"/>
      <c r="AY42" s="63"/>
      <c r="AZ42" s="63"/>
      <c r="BA42" s="270"/>
      <c r="BB42" s="271"/>
      <c r="BC42" s="271"/>
      <c r="BD42" s="271"/>
      <c r="BE42" s="271"/>
      <c r="BF42" s="271"/>
      <c r="BG42" s="271"/>
      <c r="BH42" s="271"/>
      <c r="BI42" s="271"/>
      <c r="BJ42" s="271"/>
      <c r="BK42" s="271"/>
      <c r="BL42" s="271"/>
      <c r="BM42" s="271"/>
      <c r="BN42" s="271"/>
      <c r="BO42" s="59" t="s">
        <v>62</v>
      </c>
      <c r="BP42" s="60"/>
      <c r="BQ42" s="4"/>
    </row>
    <row r="43" spans="1:73" ht="53.25" customHeight="1" thickTop="1">
      <c r="A43" s="143"/>
      <c r="B43" s="144"/>
      <c r="C43" s="200" t="s">
        <v>63</v>
      </c>
      <c r="D43" s="200"/>
      <c r="E43" s="200"/>
      <c r="F43" s="200"/>
      <c r="G43" s="200"/>
      <c r="H43" s="200"/>
      <c r="I43" s="200"/>
      <c r="J43" s="200"/>
      <c r="K43" s="200"/>
      <c r="L43" s="200"/>
      <c r="M43" s="200"/>
      <c r="N43" s="200"/>
      <c r="O43" s="200"/>
      <c r="P43" s="200"/>
      <c r="Q43" s="200"/>
      <c r="R43" s="200"/>
      <c r="S43" s="200"/>
      <c r="T43" s="200"/>
      <c r="U43" s="200"/>
      <c r="V43" s="200"/>
      <c r="W43" s="200"/>
      <c r="X43" s="200"/>
      <c r="Y43" s="200"/>
      <c r="Z43" s="200"/>
      <c r="AA43" s="200"/>
      <c r="AB43" s="200"/>
      <c r="AC43" s="200"/>
      <c r="AD43" s="200"/>
      <c r="AE43" s="200"/>
      <c r="AF43" s="200"/>
      <c r="AG43" s="200"/>
      <c r="AH43" s="200"/>
      <c r="AI43" s="200"/>
      <c r="AJ43" s="200"/>
      <c r="AK43" s="200"/>
      <c r="AL43" s="200"/>
      <c r="AM43" s="200"/>
      <c r="AN43" s="200"/>
      <c r="AO43" s="200"/>
      <c r="AP43" s="200"/>
      <c r="AQ43" s="200"/>
      <c r="AR43" s="200"/>
      <c r="AS43" s="200"/>
      <c r="AT43" s="200"/>
      <c r="AU43" s="200"/>
      <c r="AV43" s="200"/>
      <c r="AW43" s="200"/>
      <c r="AX43" s="200"/>
      <c r="AY43" s="200"/>
      <c r="AZ43" s="200"/>
      <c r="BA43" s="200"/>
      <c r="BB43" s="200"/>
      <c r="BC43" s="200"/>
      <c r="BD43" s="200"/>
      <c r="BE43" s="200"/>
      <c r="BF43" s="200"/>
      <c r="BG43" s="200"/>
      <c r="BH43" s="200"/>
      <c r="BI43" s="200"/>
      <c r="BJ43" s="200"/>
      <c r="BK43" s="200"/>
      <c r="BL43" s="200"/>
      <c r="BM43" s="200"/>
      <c r="BN43" s="200"/>
      <c r="BO43" s="200"/>
      <c r="BP43" s="200"/>
      <c r="BQ43" s="145"/>
    </row>
    <row r="44" spans="1:73" ht="18" customHeight="1">
      <c r="A44" s="201"/>
      <c r="B44" s="201"/>
      <c r="C44" s="201"/>
      <c r="D44" s="201"/>
      <c r="E44" s="201"/>
      <c r="F44" s="201"/>
      <c r="G44" s="201"/>
      <c r="H44" s="201"/>
      <c r="I44" s="201"/>
      <c r="J44" s="201"/>
      <c r="K44" s="201"/>
      <c r="L44" s="201"/>
      <c r="M44" s="201"/>
      <c r="N44" s="201"/>
      <c r="O44" s="201"/>
      <c r="P44" s="201"/>
      <c r="Q44" s="201"/>
      <c r="R44" s="201"/>
      <c r="S44" s="201"/>
      <c r="T44" s="201"/>
      <c r="U44" s="201"/>
      <c r="V44" s="201"/>
      <c r="W44" s="201"/>
      <c r="X44" s="201"/>
      <c r="Y44" s="201"/>
      <c r="Z44" s="201"/>
      <c r="AA44" s="201"/>
      <c r="AB44" s="201"/>
      <c r="AC44" s="201"/>
      <c r="AD44" s="201"/>
      <c r="AE44" s="201"/>
      <c r="AF44" s="201"/>
      <c r="AG44" s="201"/>
      <c r="AH44" s="201"/>
      <c r="AI44" s="201"/>
      <c r="AJ44" s="201"/>
      <c r="AK44" s="201"/>
      <c r="AL44" s="201"/>
      <c r="AM44" s="201"/>
      <c r="AN44" s="201"/>
      <c r="AO44" s="201"/>
      <c r="AP44" s="201"/>
      <c r="AQ44" s="201"/>
      <c r="AR44" s="201"/>
      <c r="AS44" s="201"/>
      <c r="AT44" s="201"/>
      <c r="AU44" s="201"/>
      <c r="AV44" s="201"/>
      <c r="AW44" s="201"/>
      <c r="AX44" s="201"/>
      <c r="AY44" s="201"/>
      <c r="AZ44" s="201"/>
      <c r="BA44" s="201"/>
      <c r="BB44" s="201"/>
      <c r="BC44" s="201"/>
      <c r="BD44" s="201"/>
      <c r="BE44" s="201"/>
      <c r="BF44" s="201"/>
      <c r="BG44" s="201"/>
      <c r="BH44" s="201"/>
      <c r="BI44" s="201"/>
      <c r="BJ44" s="201"/>
      <c r="BK44" s="201"/>
      <c r="BL44" s="201"/>
      <c r="BM44" s="201"/>
      <c r="BN44" s="201"/>
      <c r="BO44" s="201"/>
      <c r="BP44" s="201"/>
      <c r="BQ44" s="201"/>
    </row>
    <row r="45" spans="1:73" ht="21" customHeight="1">
      <c r="A45" s="8"/>
      <c r="B45" s="68" t="s">
        <v>64</v>
      </c>
      <c r="C45" s="64"/>
      <c r="D45" s="64"/>
      <c r="E45" s="64"/>
      <c r="F45" s="64"/>
      <c r="G45" s="64"/>
      <c r="H45" s="64"/>
      <c r="I45" s="64"/>
      <c r="J45" s="64"/>
      <c r="K45" s="64"/>
      <c r="L45" s="64"/>
      <c r="M45" s="64"/>
      <c r="N45" s="64"/>
      <c r="O45" s="64"/>
      <c r="P45" s="64"/>
      <c r="Q45" s="64"/>
      <c r="R45" s="64"/>
      <c r="S45" s="64"/>
      <c r="T45" s="64"/>
      <c r="U45" s="64"/>
      <c r="V45" s="64"/>
      <c r="W45" s="64"/>
      <c r="X45" s="65"/>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6"/>
      <c r="BH45" s="66"/>
      <c r="BI45" s="66"/>
      <c r="BJ45" s="66"/>
      <c r="BK45" s="66"/>
      <c r="BL45" s="66"/>
      <c r="BM45" s="66"/>
      <c r="BN45" s="66"/>
      <c r="BO45" s="66"/>
      <c r="BP45" s="66"/>
      <c r="BQ45" s="67"/>
    </row>
    <row r="46" spans="1:73" ht="21" customHeight="1">
      <c r="A46" s="199" t="s">
        <v>65</v>
      </c>
      <c r="B46" s="199"/>
      <c r="C46" s="199"/>
      <c r="D46" s="172" t="s">
        <v>66</v>
      </c>
      <c r="E46" s="173"/>
      <c r="F46" s="173"/>
      <c r="G46" s="173"/>
      <c r="H46" s="173"/>
      <c r="I46" s="173"/>
      <c r="J46" s="173"/>
      <c r="K46" s="173"/>
      <c r="L46" s="173"/>
      <c r="M46" s="173"/>
      <c r="N46" s="173"/>
      <c r="O46" s="174"/>
      <c r="P46" s="178" t="s">
        <v>67</v>
      </c>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80"/>
      <c r="AP46" s="181" t="s">
        <v>68</v>
      </c>
      <c r="AQ46" s="182"/>
      <c r="AR46" s="182"/>
      <c r="AS46" s="182"/>
      <c r="AT46" s="182"/>
      <c r="AU46" s="182"/>
      <c r="AV46" s="182"/>
      <c r="AW46" s="182"/>
      <c r="AX46" s="183"/>
      <c r="AY46" s="181" t="s">
        <v>69</v>
      </c>
      <c r="AZ46" s="182"/>
      <c r="BA46" s="182"/>
      <c r="BB46" s="182"/>
      <c r="BC46" s="182"/>
      <c r="BD46" s="182"/>
      <c r="BE46" s="182"/>
      <c r="BF46" s="182"/>
      <c r="BG46" s="183"/>
      <c r="BH46" s="181" t="s">
        <v>70</v>
      </c>
      <c r="BI46" s="182"/>
      <c r="BJ46" s="182"/>
      <c r="BK46" s="183"/>
      <c r="BL46" s="202" t="s">
        <v>71</v>
      </c>
      <c r="BM46" s="203"/>
      <c r="BN46" s="203"/>
      <c r="BO46" s="203"/>
      <c r="BP46" s="203"/>
      <c r="BQ46" s="204"/>
    </row>
    <row r="47" spans="1:73" ht="21" customHeight="1">
      <c r="A47" s="229">
        <v>1</v>
      </c>
      <c r="B47" s="229"/>
      <c r="C47" s="229"/>
      <c r="D47" s="175"/>
      <c r="E47" s="176"/>
      <c r="F47" s="176"/>
      <c r="G47" s="176"/>
      <c r="H47" s="176"/>
      <c r="I47" s="176"/>
      <c r="J47" s="176"/>
      <c r="K47" s="176"/>
      <c r="L47" s="176"/>
      <c r="M47" s="176"/>
      <c r="N47" s="176"/>
      <c r="O47" s="177"/>
      <c r="P47" s="230"/>
      <c r="Q47" s="231"/>
      <c r="R47" s="231"/>
      <c r="S47" s="231"/>
      <c r="T47" s="231"/>
      <c r="U47" s="231"/>
      <c r="V47" s="231"/>
      <c r="W47" s="231"/>
      <c r="X47" s="231" t="s">
        <v>72</v>
      </c>
      <c r="Y47" s="231"/>
      <c r="Z47" s="231"/>
      <c r="AA47" s="231"/>
      <c r="AB47" s="231"/>
      <c r="AC47" s="231"/>
      <c r="AD47" s="231"/>
      <c r="AE47" s="231"/>
      <c r="AF47" s="231"/>
      <c r="AG47" s="231"/>
      <c r="AH47" s="231"/>
      <c r="AI47" s="231"/>
      <c r="AJ47" s="236"/>
      <c r="AK47" s="237"/>
      <c r="AL47" s="231" t="s">
        <v>72</v>
      </c>
      <c r="AM47" s="231"/>
      <c r="AN47" s="231"/>
      <c r="AO47" s="242"/>
      <c r="AP47" s="240"/>
      <c r="AQ47" s="241"/>
      <c r="AR47" s="241"/>
      <c r="AS47" s="241"/>
      <c r="AT47" s="241"/>
      <c r="AU47" s="241"/>
      <c r="AV47" s="241"/>
      <c r="AW47" s="238" t="s">
        <v>62</v>
      </c>
      <c r="AX47" s="239"/>
      <c r="AY47" s="240"/>
      <c r="AZ47" s="241"/>
      <c r="BA47" s="241"/>
      <c r="BB47" s="241"/>
      <c r="BC47" s="241"/>
      <c r="BD47" s="241"/>
      <c r="BE47" s="241"/>
      <c r="BF47" s="234" t="s">
        <v>62</v>
      </c>
      <c r="BG47" s="235"/>
      <c r="BH47" s="232" t="str">
        <f>IF(AP47=0,"",ROUNDDOWN((((ROUNDDOWN(AY47,0)/ROUNDDOWN(AP47,0))-1)*100),0))</f>
        <v/>
      </c>
      <c r="BI47" s="233"/>
      <c r="BJ47" s="234" t="s">
        <v>73</v>
      </c>
      <c r="BK47" s="235"/>
      <c r="BL47" s="265"/>
      <c r="BM47" s="266"/>
      <c r="BN47" s="266"/>
      <c r="BO47" s="266"/>
      <c r="BP47" s="266"/>
      <c r="BQ47" s="267"/>
      <c r="BR47" s="146"/>
      <c r="BS47" s="148"/>
    </row>
    <row r="48" spans="1:73" ht="21" customHeight="1">
      <c r="A48" s="229">
        <v>2</v>
      </c>
      <c r="B48" s="229"/>
      <c r="C48" s="229"/>
      <c r="D48" s="175"/>
      <c r="E48" s="176"/>
      <c r="F48" s="176"/>
      <c r="G48" s="176"/>
      <c r="H48" s="176"/>
      <c r="I48" s="176"/>
      <c r="J48" s="176"/>
      <c r="K48" s="176"/>
      <c r="L48" s="176"/>
      <c r="M48" s="176"/>
      <c r="N48" s="176"/>
      <c r="O48" s="177"/>
      <c r="P48" s="230"/>
      <c r="Q48" s="231"/>
      <c r="R48" s="231"/>
      <c r="S48" s="231"/>
      <c r="T48" s="231"/>
      <c r="U48" s="231"/>
      <c r="V48" s="231"/>
      <c r="W48" s="231"/>
      <c r="X48" s="231" t="s">
        <v>72</v>
      </c>
      <c r="Y48" s="231"/>
      <c r="Z48" s="231"/>
      <c r="AA48" s="231"/>
      <c r="AB48" s="231"/>
      <c r="AC48" s="231"/>
      <c r="AD48" s="231"/>
      <c r="AE48" s="231"/>
      <c r="AF48" s="231"/>
      <c r="AG48" s="231"/>
      <c r="AH48" s="231"/>
      <c r="AI48" s="231"/>
      <c r="AJ48" s="231"/>
      <c r="AK48" s="231"/>
      <c r="AL48" s="231" t="s">
        <v>72</v>
      </c>
      <c r="AM48" s="231"/>
      <c r="AN48" s="231"/>
      <c r="AO48" s="242"/>
      <c r="AP48" s="240"/>
      <c r="AQ48" s="241"/>
      <c r="AR48" s="241"/>
      <c r="AS48" s="241"/>
      <c r="AT48" s="241"/>
      <c r="AU48" s="241"/>
      <c r="AV48" s="241"/>
      <c r="AW48" s="238" t="s">
        <v>62</v>
      </c>
      <c r="AX48" s="239"/>
      <c r="AY48" s="240"/>
      <c r="AZ48" s="241"/>
      <c r="BA48" s="241"/>
      <c r="BB48" s="241"/>
      <c r="BC48" s="241"/>
      <c r="BD48" s="241"/>
      <c r="BE48" s="241"/>
      <c r="BF48" s="234" t="s">
        <v>62</v>
      </c>
      <c r="BG48" s="235"/>
      <c r="BH48" s="232" t="str">
        <f t="shared" ref="BH48:BH56" si="0">IF(AP48=0,"",ROUNDDOWN((((ROUNDDOWN(AY48,0)/ROUNDDOWN(AP48,0))-1)*100),0))</f>
        <v/>
      </c>
      <c r="BI48" s="233"/>
      <c r="BJ48" s="234" t="s">
        <v>73</v>
      </c>
      <c r="BK48" s="235"/>
      <c r="BL48" s="265"/>
      <c r="BM48" s="266"/>
      <c r="BN48" s="266"/>
      <c r="BO48" s="266"/>
      <c r="BP48" s="266"/>
      <c r="BQ48" s="267"/>
      <c r="BR48" s="146"/>
      <c r="BS48" s="149"/>
    </row>
    <row r="49" spans="1:71" ht="21" customHeight="1">
      <c r="A49" s="229">
        <v>3</v>
      </c>
      <c r="B49" s="229"/>
      <c r="C49" s="229"/>
      <c r="D49" s="175"/>
      <c r="E49" s="176"/>
      <c r="F49" s="176"/>
      <c r="G49" s="176"/>
      <c r="H49" s="176"/>
      <c r="I49" s="176"/>
      <c r="J49" s="176"/>
      <c r="K49" s="176"/>
      <c r="L49" s="176"/>
      <c r="M49" s="176"/>
      <c r="N49" s="176"/>
      <c r="O49" s="177"/>
      <c r="P49" s="230"/>
      <c r="Q49" s="231"/>
      <c r="R49" s="231"/>
      <c r="S49" s="231"/>
      <c r="T49" s="231"/>
      <c r="U49" s="231"/>
      <c r="V49" s="231"/>
      <c r="W49" s="231"/>
      <c r="X49" s="231" t="s">
        <v>72</v>
      </c>
      <c r="Y49" s="231"/>
      <c r="Z49" s="231"/>
      <c r="AA49" s="231"/>
      <c r="AB49" s="231"/>
      <c r="AC49" s="231"/>
      <c r="AD49" s="231"/>
      <c r="AE49" s="231"/>
      <c r="AF49" s="231"/>
      <c r="AG49" s="231"/>
      <c r="AH49" s="231"/>
      <c r="AI49" s="231"/>
      <c r="AJ49" s="231"/>
      <c r="AK49" s="231"/>
      <c r="AL49" s="231" t="s">
        <v>72</v>
      </c>
      <c r="AM49" s="231"/>
      <c r="AN49" s="231"/>
      <c r="AO49" s="242"/>
      <c r="AP49" s="240"/>
      <c r="AQ49" s="241"/>
      <c r="AR49" s="241"/>
      <c r="AS49" s="241"/>
      <c r="AT49" s="241"/>
      <c r="AU49" s="241"/>
      <c r="AV49" s="241"/>
      <c r="AW49" s="238" t="s">
        <v>62</v>
      </c>
      <c r="AX49" s="239"/>
      <c r="AY49" s="240"/>
      <c r="AZ49" s="241"/>
      <c r="BA49" s="241"/>
      <c r="BB49" s="241"/>
      <c r="BC49" s="241"/>
      <c r="BD49" s="241"/>
      <c r="BE49" s="241"/>
      <c r="BF49" s="234" t="s">
        <v>62</v>
      </c>
      <c r="BG49" s="235"/>
      <c r="BH49" s="232" t="str">
        <f t="shared" si="0"/>
        <v/>
      </c>
      <c r="BI49" s="233"/>
      <c r="BJ49" s="234" t="s">
        <v>73</v>
      </c>
      <c r="BK49" s="235"/>
      <c r="BL49" s="265"/>
      <c r="BM49" s="266"/>
      <c r="BN49" s="266"/>
      <c r="BO49" s="266"/>
      <c r="BP49" s="266"/>
      <c r="BQ49" s="267"/>
      <c r="BR49" s="146"/>
      <c r="BS49" s="149"/>
    </row>
    <row r="50" spans="1:71" ht="21" customHeight="1">
      <c r="A50" s="229">
        <v>4</v>
      </c>
      <c r="B50" s="229"/>
      <c r="C50" s="229"/>
      <c r="D50" s="175"/>
      <c r="E50" s="176"/>
      <c r="F50" s="176"/>
      <c r="G50" s="176"/>
      <c r="H50" s="176"/>
      <c r="I50" s="176"/>
      <c r="J50" s="176"/>
      <c r="K50" s="176"/>
      <c r="L50" s="176"/>
      <c r="M50" s="176"/>
      <c r="N50" s="176"/>
      <c r="O50" s="177"/>
      <c r="P50" s="230"/>
      <c r="Q50" s="231"/>
      <c r="R50" s="231"/>
      <c r="S50" s="231"/>
      <c r="T50" s="231"/>
      <c r="U50" s="231"/>
      <c r="V50" s="231"/>
      <c r="W50" s="231"/>
      <c r="X50" s="231" t="s">
        <v>72</v>
      </c>
      <c r="Y50" s="231"/>
      <c r="Z50" s="231"/>
      <c r="AA50" s="231"/>
      <c r="AB50" s="231"/>
      <c r="AC50" s="231"/>
      <c r="AD50" s="231"/>
      <c r="AE50" s="231"/>
      <c r="AF50" s="231"/>
      <c r="AG50" s="231"/>
      <c r="AH50" s="231"/>
      <c r="AI50" s="231"/>
      <c r="AJ50" s="231"/>
      <c r="AK50" s="231"/>
      <c r="AL50" s="231" t="s">
        <v>72</v>
      </c>
      <c r="AM50" s="231"/>
      <c r="AN50" s="231"/>
      <c r="AO50" s="242"/>
      <c r="AP50" s="240"/>
      <c r="AQ50" s="241"/>
      <c r="AR50" s="241"/>
      <c r="AS50" s="241"/>
      <c r="AT50" s="241"/>
      <c r="AU50" s="241"/>
      <c r="AV50" s="241"/>
      <c r="AW50" s="238" t="s">
        <v>62</v>
      </c>
      <c r="AX50" s="239"/>
      <c r="AY50" s="240"/>
      <c r="AZ50" s="241"/>
      <c r="BA50" s="241"/>
      <c r="BB50" s="241"/>
      <c r="BC50" s="241"/>
      <c r="BD50" s="241"/>
      <c r="BE50" s="241"/>
      <c r="BF50" s="234" t="s">
        <v>62</v>
      </c>
      <c r="BG50" s="235"/>
      <c r="BH50" s="232" t="str">
        <f t="shared" si="0"/>
        <v/>
      </c>
      <c r="BI50" s="233"/>
      <c r="BJ50" s="234" t="s">
        <v>73</v>
      </c>
      <c r="BK50" s="235"/>
      <c r="BL50" s="272"/>
      <c r="BM50" s="272"/>
      <c r="BN50" s="272"/>
      <c r="BO50" s="272"/>
      <c r="BP50" s="272"/>
      <c r="BQ50" s="272"/>
      <c r="BR50" s="146"/>
      <c r="BS50" s="148"/>
    </row>
    <row r="51" spans="1:71" ht="21" customHeight="1">
      <c r="A51" s="229">
        <v>5</v>
      </c>
      <c r="B51" s="229"/>
      <c r="C51" s="229"/>
      <c r="D51" s="175"/>
      <c r="E51" s="176"/>
      <c r="F51" s="176"/>
      <c r="G51" s="176"/>
      <c r="H51" s="176"/>
      <c r="I51" s="176"/>
      <c r="J51" s="176"/>
      <c r="K51" s="176"/>
      <c r="L51" s="176"/>
      <c r="M51" s="176"/>
      <c r="N51" s="176"/>
      <c r="O51" s="177"/>
      <c r="P51" s="230"/>
      <c r="Q51" s="231"/>
      <c r="R51" s="231"/>
      <c r="S51" s="231"/>
      <c r="T51" s="231"/>
      <c r="U51" s="231"/>
      <c r="V51" s="231"/>
      <c r="W51" s="231"/>
      <c r="X51" s="231" t="s">
        <v>72</v>
      </c>
      <c r="Y51" s="231"/>
      <c r="Z51" s="231"/>
      <c r="AA51" s="231"/>
      <c r="AB51" s="231"/>
      <c r="AC51" s="231"/>
      <c r="AD51" s="231"/>
      <c r="AE51" s="231"/>
      <c r="AF51" s="231"/>
      <c r="AG51" s="231"/>
      <c r="AH51" s="231"/>
      <c r="AI51" s="231"/>
      <c r="AJ51" s="231"/>
      <c r="AK51" s="231"/>
      <c r="AL51" s="231" t="s">
        <v>72</v>
      </c>
      <c r="AM51" s="231"/>
      <c r="AN51" s="231"/>
      <c r="AO51" s="242"/>
      <c r="AP51" s="240"/>
      <c r="AQ51" s="241"/>
      <c r="AR51" s="241"/>
      <c r="AS51" s="241"/>
      <c r="AT51" s="241"/>
      <c r="AU51" s="241"/>
      <c r="AV51" s="241"/>
      <c r="AW51" s="238" t="s">
        <v>62</v>
      </c>
      <c r="AX51" s="239"/>
      <c r="AY51" s="240"/>
      <c r="AZ51" s="241"/>
      <c r="BA51" s="241"/>
      <c r="BB51" s="241"/>
      <c r="BC51" s="241"/>
      <c r="BD51" s="241"/>
      <c r="BE51" s="241"/>
      <c r="BF51" s="234" t="s">
        <v>62</v>
      </c>
      <c r="BG51" s="235"/>
      <c r="BH51" s="232" t="str">
        <f t="shared" si="0"/>
        <v/>
      </c>
      <c r="BI51" s="233"/>
      <c r="BJ51" s="234" t="s">
        <v>73</v>
      </c>
      <c r="BK51" s="235"/>
      <c r="BL51" s="272"/>
      <c r="BM51" s="272"/>
      <c r="BN51" s="272"/>
      <c r="BO51" s="272"/>
      <c r="BP51" s="272"/>
      <c r="BQ51" s="272"/>
      <c r="BR51" s="146"/>
      <c r="BS51" s="148"/>
    </row>
    <row r="52" spans="1:71" ht="21" customHeight="1">
      <c r="A52" s="229">
        <v>6</v>
      </c>
      <c r="B52" s="229"/>
      <c r="C52" s="229"/>
      <c r="D52" s="175"/>
      <c r="E52" s="176"/>
      <c r="F52" s="176"/>
      <c r="G52" s="176"/>
      <c r="H52" s="176"/>
      <c r="I52" s="176"/>
      <c r="J52" s="176"/>
      <c r="K52" s="176"/>
      <c r="L52" s="176"/>
      <c r="M52" s="176"/>
      <c r="N52" s="176"/>
      <c r="O52" s="177"/>
      <c r="P52" s="230"/>
      <c r="Q52" s="231"/>
      <c r="R52" s="231"/>
      <c r="S52" s="231"/>
      <c r="T52" s="231"/>
      <c r="U52" s="231"/>
      <c r="V52" s="231"/>
      <c r="W52" s="231"/>
      <c r="X52" s="231" t="s">
        <v>72</v>
      </c>
      <c r="Y52" s="231"/>
      <c r="Z52" s="231"/>
      <c r="AA52" s="231"/>
      <c r="AB52" s="231"/>
      <c r="AC52" s="231"/>
      <c r="AD52" s="231"/>
      <c r="AE52" s="231"/>
      <c r="AF52" s="231"/>
      <c r="AG52" s="231"/>
      <c r="AH52" s="231"/>
      <c r="AI52" s="231"/>
      <c r="AJ52" s="231"/>
      <c r="AK52" s="231"/>
      <c r="AL52" s="231" t="s">
        <v>72</v>
      </c>
      <c r="AM52" s="231"/>
      <c r="AN52" s="231"/>
      <c r="AO52" s="242"/>
      <c r="AP52" s="240"/>
      <c r="AQ52" s="241"/>
      <c r="AR52" s="241"/>
      <c r="AS52" s="241"/>
      <c r="AT52" s="241"/>
      <c r="AU52" s="241"/>
      <c r="AV52" s="241"/>
      <c r="AW52" s="238" t="s">
        <v>62</v>
      </c>
      <c r="AX52" s="239"/>
      <c r="AY52" s="240"/>
      <c r="AZ52" s="241"/>
      <c r="BA52" s="241"/>
      <c r="BB52" s="241"/>
      <c r="BC52" s="241"/>
      <c r="BD52" s="241"/>
      <c r="BE52" s="241"/>
      <c r="BF52" s="234" t="s">
        <v>62</v>
      </c>
      <c r="BG52" s="235"/>
      <c r="BH52" s="232" t="str">
        <f t="shared" si="0"/>
        <v/>
      </c>
      <c r="BI52" s="233"/>
      <c r="BJ52" s="234" t="s">
        <v>73</v>
      </c>
      <c r="BK52" s="235"/>
      <c r="BL52" s="272"/>
      <c r="BM52" s="272"/>
      <c r="BN52" s="272"/>
      <c r="BO52" s="272"/>
      <c r="BP52" s="272"/>
      <c r="BQ52" s="272"/>
      <c r="BR52" s="146"/>
      <c r="BS52" s="147"/>
    </row>
    <row r="53" spans="1:71" ht="21" customHeight="1">
      <c r="A53" s="229">
        <v>7</v>
      </c>
      <c r="B53" s="229"/>
      <c r="C53" s="229"/>
      <c r="D53" s="175"/>
      <c r="E53" s="176"/>
      <c r="F53" s="176"/>
      <c r="G53" s="176"/>
      <c r="H53" s="176"/>
      <c r="I53" s="176"/>
      <c r="J53" s="176"/>
      <c r="K53" s="176"/>
      <c r="L53" s="176"/>
      <c r="M53" s="176"/>
      <c r="N53" s="176"/>
      <c r="O53" s="177"/>
      <c r="P53" s="230"/>
      <c r="Q53" s="231"/>
      <c r="R53" s="231"/>
      <c r="S53" s="231"/>
      <c r="T53" s="231"/>
      <c r="U53" s="231"/>
      <c r="V53" s="231"/>
      <c r="W53" s="231"/>
      <c r="X53" s="231" t="s">
        <v>72</v>
      </c>
      <c r="Y53" s="231"/>
      <c r="Z53" s="231"/>
      <c r="AA53" s="231"/>
      <c r="AB53" s="231"/>
      <c r="AC53" s="231"/>
      <c r="AD53" s="231"/>
      <c r="AE53" s="231"/>
      <c r="AF53" s="231"/>
      <c r="AG53" s="231"/>
      <c r="AH53" s="231"/>
      <c r="AI53" s="231"/>
      <c r="AJ53" s="231"/>
      <c r="AK53" s="231"/>
      <c r="AL53" s="231" t="s">
        <v>72</v>
      </c>
      <c r="AM53" s="231"/>
      <c r="AN53" s="231"/>
      <c r="AO53" s="242"/>
      <c r="AP53" s="240"/>
      <c r="AQ53" s="241"/>
      <c r="AR53" s="241"/>
      <c r="AS53" s="241"/>
      <c r="AT53" s="241"/>
      <c r="AU53" s="241"/>
      <c r="AV53" s="241"/>
      <c r="AW53" s="238" t="s">
        <v>62</v>
      </c>
      <c r="AX53" s="239"/>
      <c r="AY53" s="240"/>
      <c r="AZ53" s="241"/>
      <c r="BA53" s="241"/>
      <c r="BB53" s="241"/>
      <c r="BC53" s="241"/>
      <c r="BD53" s="241"/>
      <c r="BE53" s="241"/>
      <c r="BF53" s="234" t="s">
        <v>62</v>
      </c>
      <c r="BG53" s="235"/>
      <c r="BH53" s="232" t="str">
        <f t="shared" si="0"/>
        <v/>
      </c>
      <c r="BI53" s="233"/>
      <c r="BJ53" s="234" t="s">
        <v>73</v>
      </c>
      <c r="BK53" s="235"/>
      <c r="BL53" s="272"/>
      <c r="BM53" s="272"/>
      <c r="BN53" s="272"/>
      <c r="BO53" s="272"/>
      <c r="BP53" s="272"/>
      <c r="BQ53" s="272"/>
      <c r="BR53" s="146"/>
      <c r="BS53" s="147"/>
    </row>
    <row r="54" spans="1:71" ht="18" customHeight="1">
      <c r="A54" s="229">
        <v>8</v>
      </c>
      <c r="B54" s="229"/>
      <c r="C54" s="229"/>
      <c r="D54" s="175"/>
      <c r="E54" s="176"/>
      <c r="F54" s="176"/>
      <c r="G54" s="176"/>
      <c r="H54" s="176"/>
      <c r="I54" s="176"/>
      <c r="J54" s="176"/>
      <c r="K54" s="176"/>
      <c r="L54" s="176"/>
      <c r="M54" s="176"/>
      <c r="N54" s="176"/>
      <c r="O54" s="177"/>
      <c r="P54" s="230"/>
      <c r="Q54" s="231"/>
      <c r="R54" s="231"/>
      <c r="S54" s="231"/>
      <c r="T54" s="231"/>
      <c r="U54" s="231"/>
      <c r="V54" s="231"/>
      <c r="W54" s="231"/>
      <c r="X54" s="231" t="s">
        <v>72</v>
      </c>
      <c r="Y54" s="231"/>
      <c r="Z54" s="231"/>
      <c r="AA54" s="231"/>
      <c r="AB54" s="231"/>
      <c r="AC54" s="231"/>
      <c r="AD54" s="231"/>
      <c r="AE54" s="231"/>
      <c r="AF54" s="231"/>
      <c r="AG54" s="231"/>
      <c r="AH54" s="231"/>
      <c r="AI54" s="231"/>
      <c r="AJ54" s="231"/>
      <c r="AK54" s="231"/>
      <c r="AL54" s="231" t="s">
        <v>72</v>
      </c>
      <c r="AM54" s="231"/>
      <c r="AN54" s="231"/>
      <c r="AO54" s="242"/>
      <c r="AP54" s="240"/>
      <c r="AQ54" s="241"/>
      <c r="AR54" s="241"/>
      <c r="AS54" s="241"/>
      <c r="AT54" s="241"/>
      <c r="AU54" s="241"/>
      <c r="AV54" s="241"/>
      <c r="AW54" s="238" t="s">
        <v>62</v>
      </c>
      <c r="AX54" s="239"/>
      <c r="AY54" s="240"/>
      <c r="AZ54" s="241"/>
      <c r="BA54" s="241"/>
      <c r="BB54" s="241"/>
      <c r="BC54" s="241"/>
      <c r="BD54" s="241"/>
      <c r="BE54" s="241"/>
      <c r="BF54" s="234" t="s">
        <v>62</v>
      </c>
      <c r="BG54" s="235"/>
      <c r="BH54" s="232" t="str">
        <f t="shared" si="0"/>
        <v/>
      </c>
      <c r="BI54" s="233"/>
      <c r="BJ54" s="234" t="s">
        <v>73</v>
      </c>
      <c r="BK54" s="235"/>
      <c r="BL54" s="272"/>
      <c r="BM54" s="272"/>
      <c r="BN54" s="272"/>
      <c r="BO54" s="272"/>
      <c r="BP54" s="272"/>
      <c r="BQ54" s="272"/>
      <c r="BR54" s="146"/>
      <c r="BS54" s="147"/>
    </row>
    <row r="55" spans="1:71" ht="18" customHeight="1">
      <c r="A55" s="229">
        <v>9</v>
      </c>
      <c r="B55" s="229"/>
      <c r="C55" s="229"/>
      <c r="D55" s="175"/>
      <c r="E55" s="176"/>
      <c r="F55" s="176"/>
      <c r="G55" s="176"/>
      <c r="H55" s="176"/>
      <c r="I55" s="176"/>
      <c r="J55" s="176"/>
      <c r="K55" s="176"/>
      <c r="L55" s="176"/>
      <c r="M55" s="176"/>
      <c r="N55" s="176"/>
      <c r="O55" s="177"/>
      <c r="P55" s="230"/>
      <c r="Q55" s="231"/>
      <c r="R55" s="231"/>
      <c r="S55" s="231"/>
      <c r="T55" s="231"/>
      <c r="U55" s="231"/>
      <c r="V55" s="231"/>
      <c r="W55" s="231"/>
      <c r="X55" s="231" t="s">
        <v>72</v>
      </c>
      <c r="Y55" s="231"/>
      <c r="Z55" s="231"/>
      <c r="AA55" s="231"/>
      <c r="AB55" s="231"/>
      <c r="AC55" s="231"/>
      <c r="AD55" s="231"/>
      <c r="AE55" s="231"/>
      <c r="AF55" s="231"/>
      <c r="AG55" s="231"/>
      <c r="AH55" s="231"/>
      <c r="AI55" s="231"/>
      <c r="AJ55" s="231"/>
      <c r="AK55" s="231"/>
      <c r="AL55" s="231" t="s">
        <v>72</v>
      </c>
      <c r="AM55" s="231"/>
      <c r="AN55" s="231"/>
      <c r="AO55" s="242"/>
      <c r="AP55" s="240"/>
      <c r="AQ55" s="241"/>
      <c r="AR55" s="241"/>
      <c r="AS55" s="241"/>
      <c r="AT55" s="241"/>
      <c r="AU55" s="241"/>
      <c r="AV55" s="241"/>
      <c r="AW55" s="238" t="s">
        <v>62</v>
      </c>
      <c r="AX55" s="239"/>
      <c r="AY55" s="240"/>
      <c r="AZ55" s="241"/>
      <c r="BA55" s="241"/>
      <c r="BB55" s="241"/>
      <c r="BC55" s="241"/>
      <c r="BD55" s="241"/>
      <c r="BE55" s="241"/>
      <c r="BF55" s="234" t="s">
        <v>62</v>
      </c>
      <c r="BG55" s="235"/>
      <c r="BH55" s="232" t="str">
        <f t="shared" si="0"/>
        <v/>
      </c>
      <c r="BI55" s="233"/>
      <c r="BJ55" s="234" t="s">
        <v>73</v>
      </c>
      <c r="BK55" s="235"/>
      <c r="BL55" s="272"/>
      <c r="BM55" s="272"/>
      <c r="BN55" s="272"/>
      <c r="BO55" s="272"/>
      <c r="BP55" s="272"/>
      <c r="BQ55" s="272"/>
      <c r="BR55" s="146"/>
      <c r="BS55" s="147"/>
    </row>
    <row r="56" spans="1:71" ht="18" customHeight="1">
      <c r="A56" s="229">
        <v>10</v>
      </c>
      <c r="B56" s="229"/>
      <c r="C56" s="229"/>
      <c r="D56" s="175"/>
      <c r="E56" s="176"/>
      <c r="F56" s="176"/>
      <c r="G56" s="176"/>
      <c r="H56" s="176"/>
      <c r="I56" s="176"/>
      <c r="J56" s="176"/>
      <c r="K56" s="176"/>
      <c r="L56" s="176"/>
      <c r="M56" s="176"/>
      <c r="N56" s="176"/>
      <c r="O56" s="177"/>
      <c r="P56" s="230"/>
      <c r="Q56" s="231"/>
      <c r="R56" s="231"/>
      <c r="S56" s="231"/>
      <c r="T56" s="231"/>
      <c r="U56" s="231"/>
      <c r="V56" s="231"/>
      <c r="W56" s="231"/>
      <c r="X56" s="231" t="s">
        <v>74</v>
      </c>
      <c r="Y56" s="231"/>
      <c r="Z56" s="231"/>
      <c r="AA56" s="231"/>
      <c r="AB56" s="231"/>
      <c r="AC56" s="231"/>
      <c r="AD56" s="231"/>
      <c r="AE56" s="231"/>
      <c r="AF56" s="231"/>
      <c r="AG56" s="231"/>
      <c r="AH56" s="231"/>
      <c r="AI56" s="231"/>
      <c r="AJ56" s="231"/>
      <c r="AK56" s="231"/>
      <c r="AL56" s="231" t="s">
        <v>72</v>
      </c>
      <c r="AM56" s="231"/>
      <c r="AN56" s="231"/>
      <c r="AO56" s="242"/>
      <c r="AP56" s="240"/>
      <c r="AQ56" s="241"/>
      <c r="AR56" s="241"/>
      <c r="AS56" s="241"/>
      <c r="AT56" s="241"/>
      <c r="AU56" s="241"/>
      <c r="AV56" s="241"/>
      <c r="AW56" s="238" t="s">
        <v>62</v>
      </c>
      <c r="AX56" s="239"/>
      <c r="AY56" s="240"/>
      <c r="AZ56" s="241"/>
      <c r="BA56" s="241"/>
      <c r="BB56" s="241"/>
      <c r="BC56" s="241"/>
      <c r="BD56" s="241"/>
      <c r="BE56" s="241"/>
      <c r="BF56" s="234" t="s">
        <v>62</v>
      </c>
      <c r="BG56" s="235"/>
      <c r="BH56" s="232" t="str">
        <f t="shared" si="0"/>
        <v/>
      </c>
      <c r="BI56" s="233"/>
      <c r="BJ56" s="234" t="s">
        <v>73</v>
      </c>
      <c r="BK56" s="235"/>
      <c r="BL56" s="265"/>
      <c r="BM56" s="266"/>
      <c r="BN56" s="266"/>
      <c r="BO56" s="266"/>
      <c r="BP56" s="266"/>
      <c r="BQ56" s="267"/>
      <c r="BR56" s="146"/>
      <c r="BS56" s="146"/>
    </row>
    <row r="57" spans="1:71" ht="18" customHeight="1">
      <c r="A57" s="245" t="s">
        <v>75</v>
      </c>
      <c r="B57" s="245"/>
      <c r="C57" s="245"/>
      <c r="D57" s="245"/>
      <c r="E57" s="245"/>
      <c r="F57" s="245"/>
      <c r="G57" s="245"/>
      <c r="H57" s="245"/>
      <c r="I57" s="245"/>
      <c r="J57" s="245"/>
      <c r="K57" s="245"/>
      <c r="L57" s="245"/>
      <c r="M57" s="245"/>
      <c r="N57" s="245"/>
      <c r="O57" s="245"/>
      <c r="P57" s="245"/>
      <c r="Q57" s="245"/>
      <c r="R57" s="245"/>
      <c r="S57" s="245"/>
      <c r="T57" s="245"/>
      <c r="U57" s="245"/>
      <c r="V57" s="245"/>
      <c r="W57" s="245"/>
      <c r="X57" s="245"/>
      <c r="Y57" s="245"/>
      <c r="Z57" s="245"/>
      <c r="AA57" s="245"/>
      <c r="AB57" s="245"/>
      <c r="AC57" s="245"/>
      <c r="AD57" s="245"/>
      <c r="AE57" s="245"/>
      <c r="AF57" s="245"/>
      <c r="AG57" s="245"/>
      <c r="AH57" s="245"/>
      <c r="AI57" s="245"/>
      <c r="AJ57" s="245"/>
      <c r="AK57" s="245"/>
      <c r="AL57" s="245"/>
      <c r="AM57" s="245"/>
      <c r="AN57" s="245"/>
      <c r="AO57" s="245"/>
      <c r="AP57" s="245"/>
      <c r="AQ57" s="245"/>
      <c r="AR57" s="245"/>
      <c r="AS57" s="245"/>
      <c r="AT57" s="245"/>
      <c r="AU57" s="245"/>
      <c r="AV57" s="245"/>
      <c r="AW57" s="245"/>
      <c r="AX57" s="245"/>
      <c r="AY57" s="245"/>
      <c r="AZ57" s="245"/>
      <c r="BA57" s="245"/>
      <c r="BB57" s="245"/>
      <c r="BC57" s="245"/>
      <c r="BD57" s="245"/>
      <c r="BE57" s="245"/>
      <c r="BF57" s="245"/>
      <c r="BG57" s="245"/>
      <c r="BH57" s="245"/>
      <c r="BI57" s="245"/>
      <c r="BJ57" s="245"/>
      <c r="BK57" s="245"/>
      <c r="BL57" s="245"/>
      <c r="BM57" s="245"/>
      <c r="BN57" s="245"/>
      <c r="BO57" s="245"/>
      <c r="BP57" s="245"/>
      <c r="BQ57" s="245"/>
    </row>
    <row r="58" spans="1:71" ht="24.75" customHeight="1">
      <c r="A58" s="243" t="s">
        <v>76</v>
      </c>
      <c r="B58" s="243"/>
      <c r="C58" s="243"/>
      <c r="D58" s="243"/>
      <c r="E58" s="243"/>
      <c r="F58" s="243"/>
      <c r="G58" s="243"/>
      <c r="H58" s="243"/>
      <c r="I58" s="243"/>
      <c r="J58" s="243"/>
      <c r="K58" s="243"/>
      <c r="L58" s="243"/>
      <c r="M58" s="243"/>
      <c r="N58" s="243"/>
      <c r="O58" s="243"/>
      <c r="P58" s="243"/>
      <c r="Q58" s="243"/>
      <c r="R58" s="243"/>
      <c r="S58" s="243"/>
      <c r="T58" s="243"/>
      <c r="U58" s="243"/>
      <c r="V58" s="243"/>
      <c r="W58" s="243"/>
      <c r="X58" s="243"/>
      <c r="Y58" s="243"/>
      <c r="Z58" s="243"/>
      <c r="AA58" s="243"/>
      <c r="AB58" s="243"/>
      <c r="AC58" s="243"/>
      <c r="AD58" s="243"/>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43"/>
      <c r="BH58" s="243"/>
      <c r="BI58" s="243"/>
      <c r="BJ58" s="243"/>
      <c r="BK58" s="243"/>
      <c r="BL58" s="243"/>
      <c r="BM58" s="243"/>
      <c r="BN58" s="243"/>
      <c r="BO58" s="243"/>
      <c r="BP58" s="243"/>
      <c r="BQ58" s="243"/>
    </row>
    <row r="59" spans="1:71" s="16" customFormat="1" ht="20.25" customHeight="1">
      <c r="A59" s="243"/>
      <c r="B59" s="243"/>
      <c r="C59" s="243"/>
      <c r="D59" s="243"/>
      <c r="E59" s="243"/>
      <c r="F59" s="243"/>
      <c r="G59" s="243"/>
      <c r="H59" s="243"/>
      <c r="I59" s="243"/>
      <c r="J59" s="243"/>
      <c r="K59" s="243"/>
      <c r="L59" s="243"/>
      <c r="M59" s="243"/>
      <c r="N59" s="243"/>
      <c r="O59" s="243"/>
      <c r="P59" s="243"/>
      <c r="Q59" s="243"/>
      <c r="R59" s="243"/>
      <c r="S59" s="243"/>
      <c r="T59" s="243"/>
      <c r="U59" s="243"/>
      <c r="V59" s="243"/>
      <c r="W59" s="243"/>
      <c r="X59" s="243"/>
      <c r="Y59" s="243"/>
      <c r="Z59" s="243"/>
      <c r="AA59" s="243"/>
      <c r="AB59" s="243"/>
      <c r="AC59" s="243"/>
      <c r="AD59" s="243"/>
      <c r="AE59" s="243"/>
      <c r="AF59" s="243"/>
      <c r="AG59" s="243"/>
      <c r="AH59" s="243"/>
      <c r="AI59" s="243"/>
      <c r="AJ59" s="243"/>
      <c r="AK59" s="243"/>
      <c r="AL59" s="243"/>
      <c r="AM59" s="243"/>
      <c r="AN59" s="243"/>
      <c r="AO59" s="243"/>
      <c r="AP59" s="243"/>
      <c r="AQ59" s="243"/>
      <c r="AR59" s="243"/>
      <c r="AS59" s="243"/>
      <c r="AT59" s="243"/>
      <c r="AU59" s="243"/>
      <c r="AV59" s="243"/>
      <c r="AW59" s="243"/>
      <c r="AX59" s="243"/>
      <c r="AY59" s="243"/>
      <c r="AZ59" s="243"/>
      <c r="BA59" s="243"/>
      <c r="BB59" s="243"/>
      <c r="BC59" s="243"/>
      <c r="BD59" s="243"/>
      <c r="BE59" s="243"/>
      <c r="BF59" s="243"/>
      <c r="BG59" s="243"/>
      <c r="BH59" s="243"/>
      <c r="BI59" s="243"/>
      <c r="BJ59" s="243"/>
      <c r="BK59" s="243"/>
      <c r="BL59" s="243"/>
      <c r="BM59" s="243"/>
      <c r="BN59" s="243"/>
      <c r="BO59" s="243"/>
      <c r="BP59" s="243"/>
      <c r="BQ59" s="243"/>
    </row>
    <row r="60" spans="1:71" ht="18" customHeight="1">
      <c r="A60" s="246" t="s">
        <v>77</v>
      </c>
      <c r="B60" s="246"/>
      <c r="C60" s="246"/>
      <c r="D60" s="246"/>
      <c r="E60" s="246"/>
      <c r="F60" s="246"/>
      <c r="G60" s="246"/>
      <c r="H60" s="246"/>
      <c r="I60" s="246"/>
      <c r="J60" s="246"/>
      <c r="K60" s="246"/>
      <c r="L60" s="246"/>
      <c r="M60" s="246"/>
      <c r="N60" s="246"/>
      <c r="O60" s="246"/>
      <c r="P60" s="246"/>
      <c r="Q60" s="246"/>
      <c r="R60" s="246"/>
      <c r="S60" s="246"/>
      <c r="T60" s="246"/>
      <c r="U60" s="246"/>
      <c r="V60" s="246"/>
      <c r="W60" s="246"/>
      <c r="X60" s="246"/>
      <c r="Y60" s="246"/>
      <c r="Z60" s="246"/>
      <c r="AA60" s="246"/>
      <c r="AB60" s="246"/>
      <c r="AC60" s="246"/>
      <c r="AD60" s="246"/>
      <c r="AE60" s="246"/>
      <c r="AF60" s="246"/>
      <c r="AG60" s="246"/>
      <c r="AH60" s="246"/>
      <c r="AI60" s="246"/>
      <c r="AJ60" s="246"/>
      <c r="AK60" s="246"/>
      <c r="AL60" s="246"/>
      <c r="AM60" s="246"/>
      <c r="AN60" s="246"/>
      <c r="AO60" s="246"/>
      <c r="AP60" s="246"/>
      <c r="AQ60" s="246"/>
      <c r="AR60" s="246"/>
      <c r="AS60" s="246"/>
      <c r="AT60" s="246"/>
      <c r="AU60" s="246"/>
      <c r="AV60" s="246"/>
      <c r="AW60" s="246"/>
      <c r="AX60" s="246"/>
      <c r="AY60" s="246"/>
      <c r="AZ60" s="246"/>
      <c r="BA60" s="246"/>
      <c r="BB60" s="246"/>
      <c r="BC60" s="246"/>
      <c r="BD60" s="246"/>
      <c r="BE60" s="246"/>
      <c r="BF60" s="246"/>
      <c r="BG60" s="246"/>
      <c r="BH60" s="246"/>
      <c r="BI60" s="246"/>
      <c r="BJ60" s="246"/>
      <c r="BK60" s="246"/>
      <c r="BL60" s="246"/>
      <c r="BM60" s="246"/>
      <c r="BN60" s="246"/>
      <c r="BO60" s="246"/>
      <c r="BP60" s="246"/>
      <c r="BQ60" s="246"/>
    </row>
    <row r="61" spans="1:71" ht="16.5" customHeight="1">
      <c r="A61" s="243" t="s">
        <v>107</v>
      </c>
      <c r="B61" s="243"/>
      <c r="C61" s="243"/>
      <c r="D61" s="243"/>
      <c r="E61" s="243"/>
      <c r="F61" s="243"/>
      <c r="G61" s="243"/>
      <c r="H61" s="243"/>
      <c r="I61" s="243"/>
      <c r="J61" s="243"/>
      <c r="K61" s="243"/>
      <c r="L61" s="243"/>
      <c r="M61" s="243"/>
      <c r="N61" s="243"/>
      <c r="O61" s="243"/>
      <c r="P61" s="243"/>
      <c r="Q61" s="243"/>
      <c r="R61" s="243"/>
      <c r="S61" s="243"/>
      <c r="T61" s="243"/>
      <c r="U61" s="243"/>
      <c r="V61" s="243"/>
      <c r="W61" s="243"/>
      <c r="X61" s="243"/>
      <c r="Y61" s="243"/>
      <c r="Z61" s="243"/>
      <c r="AA61" s="243"/>
      <c r="AB61" s="243"/>
      <c r="AC61" s="243"/>
      <c r="AD61" s="243"/>
      <c r="AE61" s="243"/>
      <c r="AF61" s="243"/>
      <c r="AG61" s="243"/>
      <c r="AH61" s="243"/>
      <c r="AI61" s="243"/>
      <c r="AJ61" s="243"/>
      <c r="AK61" s="243"/>
      <c r="AL61" s="243"/>
      <c r="AM61" s="243"/>
      <c r="AN61" s="243"/>
      <c r="AO61" s="243"/>
      <c r="AP61" s="243"/>
      <c r="AQ61" s="243"/>
      <c r="AR61" s="243"/>
      <c r="AS61" s="243"/>
      <c r="AT61" s="243"/>
      <c r="AU61" s="243"/>
      <c r="AV61" s="243"/>
      <c r="AW61" s="243"/>
      <c r="AX61" s="243"/>
      <c r="AY61" s="243"/>
      <c r="AZ61" s="243"/>
      <c r="BA61" s="243"/>
      <c r="BB61" s="243"/>
      <c r="BC61" s="243"/>
      <c r="BD61" s="243"/>
      <c r="BE61" s="243"/>
      <c r="BF61" s="243"/>
      <c r="BG61" s="243"/>
      <c r="BH61" s="243"/>
      <c r="BI61" s="243"/>
      <c r="BJ61" s="243"/>
      <c r="BK61" s="243"/>
      <c r="BL61" s="243"/>
      <c r="BM61" s="243"/>
      <c r="BN61" s="243"/>
      <c r="BO61" s="243"/>
      <c r="BP61" s="243"/>
      <c r="BQ61" s="243"/>
    </row>
    <row r="62" spans="1:71" ht="107.25" customHeight="1">
      <c r="A62" s="243"/>
      <c r="B62" s="243"/>
      <c r="C62" s="243"/>
      <c r="D62" s="243"/>
      <c r="E62" s="243"/>
      <c r="F62" s="243"/>
      <c r="G62" s="243"/>
      <c r="H62" s="243"/>
      <c r="I62" s="243"/>
      <c r="J62" s="243"/>
      <c r="K62" s="243"/>
      <c r="L62" s="243"/>
      <c r="M62" s="243"/>
      <c r="N62" s="243"/>
      <c r="O62" s="243"/>
      <c r="P62" s="243"/>
      <c r="Q62" s="243"/>
      <c r="R62" s="243"/>
      <c r="S62" s="243"/>
      <c r="T62" s="243"/>
      <c r="U62" s="243"/>
      <c r="V62" s="243"/>
      <c r="W62" s="243"/>
      <c r="X62" s="243"/>
      <c r="Y62" s="243"/>
      <c r="Z62" s="243"/>
      <c r="AA62" s="243"/>
      <c r="AB62" s="243"/>
      <c r="AC62" s="243"/>
      <c r="AD62" s="243"/>
      <c r="AE62" s="243"/>
      <c r="AF62" s="243"/>
      <c r="AG62" s="243"/>
      <c r="AH62" s="243"/>
      <c r="AI62" s="243"/>
      <c r="AJ62" s="243"/>
      <c r="AK62" s="243"/>
      <c r="AL62" s="243"/>
      <c r="AM62" s="243"/>
      <c r="AN62" s="243"/>
      <c r="AO62" s="243"/>
      <c r="AP62" s="243"/>
      <c r="AQ62" s="243"/>
      <c r="AR62" s="243"/>
      <c r="AS62" s="243"/>
      <c r="AT62" s="243"/>
      <c r="AU62" s="243"/>
      <c r="AV62" s="243"/>
      <c r="AW62" s="243"/>
      <c r="AX62" s="243"/>
      <c r="AY62" s="243"/>
      <c r="AZ62" s="243"/>
      <c r="BA62" s="243"/>
      <c r="BB62" s="243"/>
      <c r="BC62" s="243"/>
      <c r="BD62" s="243"/>
      <c r="BE62" s="243"/>
      <c r="BF62" s="243"/>
      <c r="BG62" s="243"/>
      <c r="BH62" s="243"/>
      <c r="BI62" s="243"/>
      <c r="BJ62" s="243"/>
      <c r="BK62" s="243"/>
      <c r="BL62" s="243"/>
      <c r="BM62" s="243"/>
      <c r="BN62" s="243"/>
      <c r="BO62" s="243"/>
      <c r="BP62" s="243"/>
      <c r="BQ62" s="243"/>
    </row>
    <row r="63" spans="1:71" ht="19.5" customHeight="1">
      <c r="A63" s="246" t="s">
        <v>78</v>
      </c>
      <c r="B63" s="246"/>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c r="AA63" s="246"/>
      <c r="AB63" s="246"/>
      <c r="AC63" s="246"/>
      <c r="AD63" s="246"/>
      <c r="AE63" s="246"/>
      <c r="AF63" s="246"/>
      <c r="AG63" s="246"/>
      <c r="AH63" s="246"/>
      <c r="AI63" s="246"/>
      <c r="AJ63" s="246"/>
      <c r="AK63" s="246"/>
      <c r="AL63" s="246"/>
      <c r="AM63" s="246"/>
      <c r="AN63" s="246"/>
      <c r="AO63" s="246"/>
      <c r="AP63" s="246"/>
      <c r="AQ63" s="246"/>
      <c r="AR63" s="246"/>
      <c r="AS63" s="246"/>
      <c r="AT63" s="246"/>
      <c r="AU63" s="246"/>
      <c r="AV63" s="246"/>
      <c r="AW63" s="246"/>
      <c r="AX63" s="246"/>
      <c r="AY63" s="246"/>
      <c r="AZ63" s="246"/>
      <c r="BA63" s="246"/>
      <c r="BB63" s="246"/>
      <c r="BC63" s="246"/>
      <c r="BD63" s="246"/>
      <c r="BE63" s="246"/>
      <c r="BF63" s="246"/>
      <c r="BG63" s="246"/>
      <c r="BH63" s="246"/>
      <c r="BI63" s="246"/>
      <c r="BJ63" s="246"/>
      <c r="BK63" s="246"/>
      <c r="BL63" s="246"/>
      <c r="BM63" s="246"/>
      <c r="BN63" s="246"/>
      <c r="BO63" s="246"/>
      <c r="BP63" s="246"/>
      <c r="BQ63" s="246"/>
    </row>
    <row r="64" spans="1:71" ht="152.25" customHeight="1">
      <c r="A64" s="243" t="s">
        <v>102</v>
      </c>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row>
    <row r="65" spans="1:69" ht="39" customHeight="1">
      <c r="A65" s="243" t="s">
        <v>79</v>
      </c>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row>
    <row r="66" spans="1:69" ht="21" customHeight="1">
      <c r="A66" s="6"/>
      <c r="B66" s="6"/>
      <c r="C66" s="6"/>
      <c r="D66" s="6"/>
      <c r="E66" s="4"/>
      <c r="F66" s="4"/>
      <c r="G66" s="4"/>
      <c r="H66" s="17"/>
      <c r="I66" s="247" t="s">
        <v>80</v>
      </c>
      <c r="J66" s="247"/>
      <c r="K66" s="247"/>
      <c r="L66" s="247"/>
      <c r="M66" s="247"/>
      <c r="N66" s="247"/>
      <c r="O66" s="247"/>
      <c r="P66" s="247"/>
      <c r="Q66" s="247"/>
      <c r="R66" s="247"/>
      <c r="S66" s="19"/>
      <c r="T66" s="19"/>
      <c r="U66" s="19"/>
      <c r="V66" s="20"/>
      <c r="W66" s="76"/>
      <c r="X66" s="247" t="s">
        <v>81</v>
      </c>
      <c r="Y66" s="247"/>
      <c r="Z66" s="247"/>
      <c r="AA66" s="247"/>
      <c r="AB66" s="247"/>
      <c r="AC66" s="247"/>
      <c r="AD66" s="247"/>
      <c r="AE66" s="247"/>
      <c r="AF66" s="247"/>
      <c r="AG66" s="247"/>
      <c r="AH66" s="247"/>
      <c r="AI66" s="247"/>
      <c r="AJ66" s="247"/>
      <c r="AK66" s="247"/>
      <c r="AL66" s="247"/>
      <c r="AM66" s="247"/>
      <c r="AN66" s="247"/>
      <c r="AO66" s="247"/>
      <c r="AP66" s="247"/>
      <c r="AQ66" s="247"/>
      <c r="AR66" s="247"/>
      <c r="AS66" s="247"/>
      <c r="AT66" s="247"/>
      <c r="AU66" s="247"/>
      <c r="AV66" s="247"/>
      <c r="AW66" s="247"/>
      <c r="AX66" s="247"/>
      <c r="AY66" s="247"/>
      <c r="AZ66" s="247"/>
      <c r="BA66" s="247"/>
      <c r="BB66" s="247"/>
      <c r="BC66" s="247"/>
      <c r="BD66" s="247"/>
      <c r="BE66" s="247"/>
      <c r="BF66" s="247"/>
      <c r="BG66" s="247"/>
      <c r="BH66" s="247"/>
      <c r="BI66" s="254"/>
      <c r="BJ66" s="22"/>
      <c r="BK66" s="6"/>
      <c r="BL66" s="6"/>
      <c r="BM66" s="6"/>
      <c r="BN66" s="6"/>
      <c r="BO66" s="6"/>
      <c r="BP66" s="6"/>
      <c r="BQ66" s="6"/>
    </row>
    <row r="67" spans="1:69" s="113" customFormat="1" ht="21" customHeight="1">
      <c r="A67" s="6"/>
      <c r="B67" s="6"/>
      <c r="C67" s="6"/>
      <c r="D67" s="6"/>
      <c r="E67" s="4"/>
      <c r="F67" s="4"/>
      <c r="G67" s="4"/>
      <c r="H67" s="17"/>
      <c r="I67" s="247" t="s">
        <v>82</v>
      </c>
      <c r="J67" s="247"/>
      <c r="K67" s="247"/>
      <c r="L67" s="247"/>
      <c r="M67" s="247"/>
      <c r="N67" s="247"/>
      <c r="O67" s="247"/>
      <c r="P67" s="247"/>
      <c r="Q67" s="247"/>
      <c r="R67" s="247"/>
      <c r="S67" s="19"/>
      <c r="T67" s="19"/>
      <c r="U67" s="19"/>
      <c r="V67" s="20"/>
      <c r="W67" s="248" t="s">
        <v>83</v>
      </c>
      <c r="X67" s="249"/>
      <c r="Y67" s="249"/>
      <c r="Z67" s="249"/>
      <c r="AA67" s="249"/>
      <c r="AB67" s="249"/>
      <c r="AC67" s="249"/>
      <c r="AD67" s="249"/>
      <c r="AE67" s="249"/>
      <c r="AF67" s="249"/>
      <c r="AG67" s="249"/>
      <c r="AH67" s="249"/>
      <c r="AI67" s="249"/>
      <c r="AJ67" s="249"/>
      <c r="AK67" s="249"/>
      <c r="AL67" s="249"/>
      <c r="AM67" s="249"/>
      <c r="AN67" s="249"/>
      <c r="AO67" s="249"/>
      <c r="AP67" s="249"/>
      <c r="AQ67" s="249"/>
      <c r="AR67" s="249"/>
      <c r="AS67" s="249"/>
      <c r="AT67" s="249"/>
      <c r="AU67" s="249"/>
      <c r="AV67" s="249"/>
      <c r="AW67" s="249"/>
      <c r="AX67" s="249"/>
      <c r="AY67" s="249"/>
      <c r="AZ67" s="249"/>
      <c r="BA67" s="249"/>
      <c r="BB67" s="249"/>
      <c r="BC67" s="249"/>
      <c r="BD67" s="249"/>
      <c r="BE67" s="249"/>
      <c r="BF67" s="249"/>
      <c r="BG67" s="249"/>
      <c r="BH67" s="249"/>
      <c r="BI67" s="249"/>
      <c r="BJ67" s="22"/>
      <c r="BK67" s="6"/>
      <c r="BL67" s="6"/>
      <c r="BM67" s="6"/>
      <c r="BN67" s="6"/>
      <c r="BO67" s="6"/>
      <c r="BP67" s="6"/>
      <c r="BQ67" s="6"/>
    </row>
    <row r="68" spans="1:69" ht="24" customHeight="1">
      <c r="A68" s="6"/>
      <c r="B68" s="6"/>
      <c r="C68" s="6"/>
      <c r="D68" s="6"/>
      <c r="E68" s="4"/>
      <c r="F68" s="4"/>
      <c r="G68" s="4"/>
      <c r="H68" s="17"/>
      <c r="I68" s="247" t="s">
        <v>84</v>
      </c>
      <c r="J68" s="247"/>
      <c r="K68" s="247"/>
      <c r="L68" s="247"/>
      <c r="M68" s="247"/>
      <c r="N68" s="247"/>
      <c r="O68" s="247"/>
      <c r="P68" s="247"/>
      <c r="Q68" s="247"/>
      <c r="R68" s="247"/>
      <c r="S68" s="19"/>
      <c r="T68" s="19"/>
      <c r="U68" s="19"/>
      <c r="V68" s="20"/>
      <c r="W68" s="248" t="s">
        <v>85</v>
      </c>
      <c r="X68" s="249"/>
      <c r="Y68" s="249"/>
      <c r="Z68" s="249"/>
      <c r="AA68" s="249"/>
      <c r="AB68" s="249"/>
      <c r="AC68" s="249"/>
      <c r="AD68" s="249"/>
      <c r="AE68" s="249"/>
      <c r="AF68" s="249"/>
      <c r="AG68" s="249"/>
      <c r="AH68" s="249"/>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2"/>
      <c r="BK68" s="6"/>
      <c r="BL68" s="6"/>
      <c r="BM68" s="6"/>
      <c r="BN68" s="6"/>
      <c r="BO68" s="6"/>
      <c r="BP68" s="6"/>
      <c r="BQ68" s="6"/>
    </row>
    <row r="69" spans="1:69" ht="20.25" customHeight="1">
      <c r="A69" s="6"/>
      <c r="B69" s="6"/>
      <c r="C69" s="6"/>
      <c r="D69" s="6"/>
      <c r="E69" s="4"/>
      <c r="F69" s="4"/>
      <c r="G69" s="4"/>
      <c r="H69" s="17"/>
      <c r="I69" s="247" t="s">
        <v>86</v>
      </c>
      <c r="J69" s="247"/>
      <c r="K69" s="247"/>
      <c r="L69" s="247"/>
      <c r="M69" s="247"/>
      <c r="N69" s="247"/>
      <c r="O69" s="247"/>
      <c r="P69" s="247"/>
      <c r="Q69" s="247"/>
      <c r="R69" s="247"/>
      <c r="S69" s="19"/>
      <c r="T69" s="19"/>
      <c r="U69" s="19"/>
      <c r="V69" s="20"/>
      <c r="W69" s="248" t="s">
        <v>87</v>
      </c>
      <c r="X69" s="249"/>
      <c r="Y69" s="249"/>
      <c r="Z69" s="249"/>
      <c r="AA69" s="249"/>
      <c r="AB69" s="249"/>
      <c r="AC69" s="249"/>
      <c r="AD69" s="249"/>
      <c r="AE69" s="249"/>
      <c r="AF69" s="249"/>
      <c r="AG69" s="249"/>
      <c r="AH69" s="249"/>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2"/>
      <c r="BK69" s="6"/>
      <c r="BL69" s="6"/>
      <c r="BM69" s="6"/>
      <c r="BN69" s="6"/>
      <c r="BO69" s="6"/>
      <c r="BP69" s="6"/>
      <c r="BQ69" s="6"/>
    </row>
    <row r="70" spans="1:69" ht="85.5" customHeight="1">
      <c r="A70" s="250" t="s">
        <v>88</v>
      </c>
      <c r="B70" s="251"/>
      <c r="C70" s="251"/>
      <c r="D70" s="251"/>
      <c r="E70" s="251"/>
      <c r="F70" s="251"/>
      <c r="G70" s="251"/>
      <c r="H70" s="251"/>
      <c r="I70" s="251"/>
      <c r="J70" s="251"/>
      <c r="K70" s="251"/>
      <c r="L70" s="251"/>
      <c r="M70" s="251"/>
      <c r="N70" s="251"/>
      <c r="O70" s="251"/>
      <c r="P70" s="251"/>
      <c r="Q70" s="251"/>
      <c r="R70" s="251"/>
      <c r="S70" s="251"/>
      <c r="T70" s="251"/>
      <c r="U70" s="251"/>
      <c r="V70" s="251"/>
      <c r="W70" s="251"/>
      <c r="X70" s="251"/>
      <c r="Y70" s="251"/>
      <c r="Z70" s="251"/>
      <c r="AA70" s="251"/>
      <c r="AB70" s="251"/>
      <c r="AC70" s="251"/>
      <c r="AD70" s="251"/>
      <c r="AE70" s="251"/>
      <c r="AF70" s="251"/>
      <c r="AG70" s="251"/>
      <c r="AH70" s="251"/>
      <c r="AI70" s="251"/>
      <c r="AJ70" s="251"/>
      <c r="AK70" s="251"/>
      <c r="AL70" s="251"/>
      <c r="AM70" s="251"/>
      <c r="AN70" s="251"/>
      <c r="AO70" s="251"/>
      <c r="AP70" s="251"/>
      <c r="AQ70" s="251"/>
      <c r="AR70" s="251"/>
      <c r="AS70" s="251"/>
      <c r="AT70" s="251"/>
      <c r="AU70" s="251"/>
      <c r="AV70" s="251"/>
      <c r="AW70" s="251"/>
      <c r="AX70" s="251"/>
      <c r="AY70" s="251"/>
      <c r="AZ70" s="251"/>
      <c r="BA70" s="251"/>
      <c r="BB70" s="251"/>
      <c r="BC70" s="251"/>
      <c r="BD70" s="251"/>
      <c r="BE70" s="251"/>
      <c r="BF70" s="251"/>
      <c r="BG70" s="251"/>
      <c r="BH70" s="251"/>
      <c r="BI70" s="251"/>
      <c r="BJ70" s="251"/>
      <c r="BK70" s="251"/>
      <c r="BL70" s="251"/>
      <c r="BM70" s="251"/>
      <c r="BN70" s="251"/>
      <c r="BO70" s="251"/>
      <c r="BP70" s="251"/>
      <c r="BQ70" s="251"/>
    </row>
    <row r="71" spans="1:69" ht="68.25" customHeight="1">
      <c r="A71" s="252" t="s">
        <v>89</v>
      </c>
      <c r="B71" s="253"/>
      <c r="C71" s="253"/>
      <c r="D71" s="253"/>
      <c r="E71" s="253"/>
      <c r="F71" s="253"/>
      <c r="G71" s="253"/>
      <c r="H71" s="253"/>
      <c r="I71" s="253"/>
      <c r="J71" s="253"/>
      <c r="K71" s="253"/>
      <c r="L71" s="253"/>
      <c r="M71" s="253"/>
      <c r="N71" s="253"/>
      <c r="O71" s="253"/>
      <c r="P71" s="253"/>
      <c r="Q71" s="253"/>
      <c r="R71" s="253"/>
      <c r="S71" s="253"/>
      <c r="T71" s="253"/>
      <c r="U71" s="253"/>
      <c r="V71" s="253"/>
      <c r="W71" s="253"/>
      <c r="X71" s="253"/>
      <c r="Y71" s="253"/>
      <c r="Z71" s="253"/>
      <c r="AA71" s="253"/>
      <c r="AB71" s="253"/>
      <c r="AC71" s="253"/>
      <c r="AD71" s="253"/>
      <c r="AE71" s="253"/>
      <c r="AF71" s="253"/>
      <c r="AG71" s="253"/>
      <c r="AH71" s="253"/>
      <c r="AI71" s="253"/>
      <c r="AJ71" s="253"/>
      <c r="AK71" s="253"/>
      <c r="AL71" s="253"/>
      <c r="AM71" s="253"/>
      <c r="AN71" s="253"/>
      <c r="AO71" s="253"/>
      <c r="AP71" s="253"/>
      <c r="AQ71" s="253"/>
      <c r="AR71" s="253"/>
      <c r="AS71" s="253"/>
      <c r="AT71" s="253"/>
      <c r="AU71" s="253"/>
      <c r="AV71" s="253"/>
      <c r="AW71" s="253"/>
      <c r="AX71" s="253"/>
      <c r="AY71" s="253"/>
      <c r="AZ71" s="253"/>
      <c r="BA71" s="253"/>
      <c r="BB71" s="253"/>
      <c r="BC71" s="253"/>
      <c r="BD71" s="253"/>
      <c r="BE71" s="253"/>
      <c r="BF71" s="253"/>
      <c r="BG71" s="253"/>
      <c r="BH71" s="253"/>
      <c r="BI71" s="253"/>
      <c r="BJ71" s="253"/>
      <c r="BK71" s="253"/>
      <c r="BL71" s="253"/>
      <c r="BM71" s="253"/>
      <c r="BN71" s="253"/>
      <c r="BO71" s="253"/>
      <c r="BP71" s="253"/>
      <c r="BQ71" s="253"/>
    </row>
    <row r="72" spans="1:69" ht="15.75" customHeight="1">
      <c r="A72" s="243" t="s">
        <v>90</v>
      </c>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row>
    <row r="73" spans="1:69" ht="21.75" customHeight="1">
      <c r="A73" s="255" t="s">
        <v>93</v>
      </c>
      <c r="B73" s="255"/>
      <c r="C73" s="255"/>
      <c r="D73" s="255"/>
      <c r="E73" s="255"/>
      <c r="F73" s="255"/>
      <c r="G73" s="255"/>
      <c r="H73" s="255"/>
      <c r="I73" s="255"/>
      <c r="J73" s="255"/>
      <c r="K73" s="255"/>
      <c r="L73" s="255"/>
      <c r="M73" s="255"/>
      <c r="N73" s="255"/>
      <c r="O73" s="255"/>
      <c r="P73" s="255"/>
      <c r="Q73" s="255"/>
      <c r="R73" s="255"/>
      <c r="S73" s="255"/>
      <c r="T73" s="255"/>
      <c r="U73" s="255"/>
      <c r="V73" s="255"/>
      <c r="W73" s="255"/>
      <c r="X73" s="255"/>
      <c r="Y73" s="255"/>
      <c r="Z73" s="255"/>
      <c r="AA73" s="255"/>
      <c r="AB73" s="255"/>
      <c r="AC73" s="255"/>
      <c r="AD73" s="255"/>
      <c r="AE73" s="255"/>
      <c r="AF73" s="255"/>
      <c r="AG73" s="255"/>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c r="BK73" s="255"/>
      <c r="BL73" s="255"/>
      <c r="BM73" s="255"/>
      <c r="BN73" s="255"/>
      <c r="BO73" s="255"/>
      <c r="BP73" s="255"/>
      <c r="BQ73" s="255"/>
    </row>
    <row r="74" spans="1:69" ht="3" customHeight="1">
      <c r="A74" s="6"/>
      <c r="B74" s="6"/>
      <c r="C74" s="6"/>
      <c r="D74" s="6"/>
      <c r="E74" s="6"/>
      <c r="F74" s="6"/>
      <c r="G74" s="6"/>
      <c r="H74" s="6"/>
      <c r="I74" s="6"/>
      <c r="J74" s="6"/>
      <c r="K74" s="6"/>
      <c r="L74" s="6"/>
      <c r="M74" s="6"/>
      <c r="N74" s="6"/>
      <c r="O74" s="6"/>
      <c r="P74" s="6"/>
      <c r="Q74" s="6"/>
      <c r="R74" s="6"/>
      <c r="S74" s="6"/>
      <c r="T74" s="6"/>
      <c r="U74" s="6"/>
      <c r="V74" s="6"/>
      <c r="W74" s="6"/>
      <c r="X74" s="2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row>
    <row r="75" spans="1:69" ht="14.1" customHeight="1">
      <c r="A75" s="246" t="s">
        <v>91</v>
      </c>
      <c r="B75" s="246"/>
      <c r="C75" s="246"/>
      <c r="D75" s="246"/>
      <c r="E75" s="246"/>
      <c r="F75" s="246"/>
      <c r="G75" s="246"/>
      <c r="H75" s="246"/>
      <c r="I75" s="246"/>
      <c r="J75" s="246"/>
      <c r="K75" s="246"/>
      <c r="L75" s="246"/>
      <c r="M75" s="246"/>
      <c r="N75" s="246"/>
      <c r="O75" s="246"/>
      <c r="P75" s="246"/>
      <c r="Q75" s="246"/>
      <c r="R75" s="246"/>
      <c r="S75" s="246"/>
      <c r="T75" s="246"/>
      <c r="U75" s="246"/>
      <c r="V75" s="246"/>
      <c r="W75" s="246"/>
      <c r="X75" s="246"/>
      <c r="Y75" s="246"/>
      <c r="Z75" s="246"/>
      <c r="AA75" s="246"/>
      <c r="AB75" s="246"/>
      <c r="AC75" s="246"/>
      <c r="AD75" s="246"/>
      <c r="AE75" s="246"/>
      <c r="AF75" s="246"/>
      <c r="AG75" s="246"/>
      <c r="AH75" s="246"/>
      <c r="AI75" s="246"/>
      <c r="AJ75" s="246"/>
      <c r="AK75" s="246"/>
      <c r="AL75" s="246"/>
      <c r="AM75" s="246"/>
      <c r="AN75" s="246"/>
      <c r="AO75" s="246"/>
      <c r="AP75" s="246"/>
      <c r="AQ75" s="246"/>
      <c r="AR75" s="246"/>
      <c r="AS75" s="246"/>
      <c r="AT75" s="246"/>
      <c r="AU75" s="246"/>
      <c r="AV75" s="246"/>
      <c r="AW75" s="246"/>
      <c r="AX75" s="246"/>
      <c r="AY75" s="246"/>
      <c r="AZ75" s="246"/>
      <c r="BA75" s="246"/>
      <c r="BB75" s="246"/>
      <c r="BC75" s="246"/>
      <c r="BD75" s="246"/>
      <c r="BE75" s="246"/>
      <c r="BF75" s="246"/>
      <c r="BG75" s="246"/>
      <c r="BH75" s="246"/>
      <c r="BI75" s="246"/>
      <c r="BJ75" s="246"/>
      <c r="BK75" s="246"/>
      <c r="BL75" s="246"/>
      <c r="BM75" s="246"/>
      <c r="BN75" s="246"/>
      <c r="BO75" s="246"/>
      <c r="BP75" s="246"/>
      <c r="BQ75" s="246"/>
    </row>
    <row r="76" spans="1:69" ht="32.25" customHeight="1">
      <c r="A76" s="243" t="s">
        <v>92</v>
      </c>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row>
    <row r="77" spans="1:69" ht="14.1" customHeight="1">
      <c r="A77" s="7"/>
      <c r="B77" s="7"/>
      <c r="C77" s="7"/>
      <c r="D77" s="7"/>
      <c r="E77" s="7"/>
      <c r="F77" s="7"/>
      <c r="G77" s="7"/>
      <c r="H77" s="7"/>
      <c r="I77" s="7"/>
      <c r="J77" s="7"/>
      <c r="K77" s="7"/>
      <c r="L77" s="7"/>
      <c r="M77" s="7"/>
      <c r="N77" s="7"/>
      <c r="O77" s="7"/>
      <c r="P77" s="7"/>
      <c r="Q77" s="7"/>
      <c r="R77" s="7"/>
      <c r="S77" s="7"/>
      <c r="T77" s="7"/>
      <c r="U77" s="7"/>
      <c r="V77" s="7"/>
      <c r="W77" s="7"/>
      <c r="X77" s="2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row>
    <row r="78" spans="1:69" ht="14.1" customHeight="1">
      <c r="A78" s="13"/>
      <c r="B78" s="13"/>
      <c r="C78" s="13"/>
      <c r="D78" s="13"/>
      <c r="E78" s="13"/>
      <c r="F78" s="13"/>
      <c r="G78" s="13"/>
      <c r="H78" s="13"/>
      <c r="I78" s="13"/>
      <c r="J78" s="13"/>
      <c r="K78" s="13"/>
      <c r="L78" s="13"/>
      <c r="M78" s="13"/>
      <c r="N78" s="13"/>
      <c r="O78" s="13"/>
      <c r="P78" s="13"/>
      <c r="Q78" s="13"/>
      <c r="R78" s="13"/>
      <c r="S78" s="13"/>
      <c r="T78" s="13"/>
      <c r="U78" s="13"/>
      <c r="V78" s="13"/>
      <c r="W78" s="13"/>
      <c r="X78" s="2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row>
    <row r="79" spans="1:69" ht="14.1" customHeight="1">
      <c r="A79" s="13"/>
      <c r="B79" s="13"/>
      <c r="C79" s="13"/>
      <c r="D79" s="13"/>
      <c r="E79" s="13"/>
      <c r="F79" s="13"/>
      <c r="G79" s="13"/>
      <c r="H79" s="13"/>
      <c r="I79" s="13"/>
      <c r="J79" s="13"/>
      <c r="K79" s="13"/>
      <c r="L79" s="13"/>
      <c r="M79" s="13"/>
      <c r="N79" s="13"/>
      <c r="O79" s="13"/>
      <c r="P79" s="13"/>
      <c r="Q79" s="13"/>
      <c r="R79" s="13"/>
      <c r="S79" s="13"/>
      <c r="T79" s="13"/>
      <c r="U79" s="13"/>
      <c r="V79" s="13"/>
      <c r="W79" s="13"/>
      <c r="X79" s="2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row>
    <row r="80" spans="1:69" ht="14.1" customHeight="1">
      <c r="A80" s="13"/>
      <c r="B80" s="13"/>
      <c r="C80" s="13"/>
      <c r="D80" s="13"/>
      <c r="E80" s="13"/>
      <c r="F80" s="13"/>
      <c r="G80" s="13"/>
      <c r="H80" s="13"/>
      <c r="I80" s="13"/>
      <c r="J80" s="13"/>
      <c r="K80" s="13"/>
      <c r="L80" s="13"/>
      <c r="M80" s="13"/>
      <c r="N80" s="13"/>
      <c r="O80" s="13"/>
      <c r="P80" s="13"/>
      <c r="Q80" s="13"/>
      <c r="R80" s="13"/>
      <c r="S80" s="13"/>
      <c r="T80" s="13"/>
      <c r="U80" s="13"/>
      <c r="V80" s="13"/>
      <c r="W80" s="13"/>
      <c r="X80" s="2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row>
    <row r="81" spans="1:69" ht="14.1" customHeight="1">
      <c r="A81" s="13"/>
      <c r="B81" s="13"/>
      <c r="C81" s="13"/>
      <c r="D81" s="13"/>
      <c r="E81" s="13"/>
      <c r="F81" s="13"/>
      <c r="G81" s="13"/>
      <c r="H81" s="13"/>
      <c r="I81" s="13"/>
      <c r="J81" s="13"/>
      <c r="K81" s="13"/>
      <c r="L81" s="13"/>
      <c r="M81" s="13"/>
      <c r="N81" s="13"/>
      <c r="O81" s="13"/>
      <c r="P81" s="13"/>
      <c r="Q81" s="13"/>
      <c r="R81" s="13"/>
      <c r="S81" s="13"/>
      <c r="T81" s="13"/>
      <c r="U81" s="13"/>
      <c r="V81" s="13"/>
      <c r="W81" s="13"/>
      <c r="X81" s="2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row>
    <row r="82" spans="1:69" ht="14.1" customHeight="1">
      <c r="A82" s="13"/>
      <c r="B82" s="13"/>
      <c r="C82" s="13"/>
      <c r="D82" s="13"/>
      <c r="E82" s="13"/>
      <c r="F82" s="13"/>
      <c r="G82" s="13"/>
      <c r="H82" s="13"/>
      <c r="I82" s="13"/>
      <c r="J82" s="13"/>
      <c r="K82" s="13"/>
      <c r="L82" s="13"/>
      <c r="M82" s="13"/>
      <c r="N82" s="13"/>
      <c r="O82" s="13"/>
      <c r="P82" s="13"/>
      <c r="Q82" s="13"/>
      <c r="R82" s="13"/>
      <c r="S82" s="13"/>
      <c r="T82" s="13"/>
      <c r="U82" s="13"/>
      <c r="V82" s="13"/>
      <c r="W82" s="13"/>
      <c r="X82" s="2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row>
    <row r="83" spans="1:69" ht="14.1" customHeight="1">
      <c r="A83" s="13"/>
      <c r="B83" s="13"/>
      <c r="C83" s="13"/>
      <c r="D83" s="13"/>
      <c r="E83" s="13"/>
      <c r="F83" s="13"/>
      <c r="G83" s="13"/>
      <c r="H83" s="13"/>
      <c r="I83" s="13"/>
      <c r="J83" s="13"/>
      <c r="K83" s="13"/>
      <c r="L83" s="13"/>
      <c r="M83" s="13"/>
      <c r="N83" s="13"/>
      <c r="O83" s="13"/>
      <c r="P83" s="13"/>
      <c r="Q83" s="13"/>
      <c r="R83" s="13"/>
      <c r="S83" s="13"/>
      <c r="T83" s="13"/>
      <c r="U83" s="13"/>
      <c r="V83" s="13"/>
      <c r="W83" s="13"/>
      <c r="X83" s="2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row>
    <row r="84" spans="1:69" ht="14.1" customHeight="1">
      <c r="A84" s="13"/>
      <c r="B84" s="13"/>
      <c r="C84" s="13"/>
      <c r="D84" s="13"/>
      <c r="E84" s="13"/>
      <c r="F84" s="13"/>
      <c r="G84" s="13"/>
      <c r="H84" s="13"/>
      <c r="I84" s="13"/>
      <c r="J84" s="13"/>
      <c r="K84" s="13"/>
      <c r="L84" s="13"/>
      <c r="M84" s="13"/>
      <c r="N84" s="13"/>
      <c r="O84" s="13"/>
      <c r="P84" s="13"/>
      <c r="Q84" s="13"/>
      <c r="R84" s="13"/>
      <c r="S84" s="13"/>
      <c r="T84" s="13"/>
      <c r="U84" s="13"/>
      <c r="V84" s="13"/>
      <c r="W84" s="13"/>
      <c r="X84" s="2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row>
    <row r="85" spans="1:69" ht="14.1" customHeight="1">
      <c r="A85" s="13"/>
      <c r="B85" s="13"/>
      <c r="C85" s="13"/>
      <c r="D85" s="13"/>
      <c r="E85" s="13"/>
      <c r="F85" s="13"/>
      <c r="G85" s="13"/>
      <c r="H85" s="13"/>
      <c r="I85" s="13"/>
      <c r="J85" s="13"/>
      <c r="K85" s="13"/>
      <c r="L85" s="13"/>
      <c r="M85" s="13"/>
      <c r="N85" s="13"/>
      <c r="O85" s="13"/>
      <c r="P85" s="13"/>
      <c r="Q85" s="13"/>
      <c r="R85" s="13"/>
      <c r="S85" s="13"/>
      <c r="T85" s="13"/>
      <c r="U85" s="13"/>
      <c r="V85" s="13"/>
      <c r="W85" s="13"/>
      <c r="X85" s="2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row>
    <row r="86" spans="1:69" ht="14.1" customHeight="1">
      <c r="A86" s="13"/>
      <c r="B86" s="13"/>
      <c r="C86" s="13"/>
      <c r="D86" s="13"/>
      <c r="E86" s="13"/>
      <c r="F86" s="13"/>
      <c r="G86" s="13"/>
      <c r="H86" s="13"/>
      <c r="I86" s="13"/>
      <c r="J86" s="13"/>
      <c r="K86" s="13"/>
      <c r="L86" s="13"/>
      <c r="M86" s="13"/>
      <c r="N86" s="13"/>
      <c r="O86" s="13"/>
      <c r="P86" s="13"/>
      <c r="Q86" s="13"/>
      <c r="R86" s="13"/>
      <c r="S86" s="13"/>
      <c r="T86" s="13"/>
      <c r="U86" s="13"/>
      <c r="V86" s="13"/>
      <c r="W86" s="13"/>
      <c r="X86" s="2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row>
    <row r="87" spans="1:69" ht="14.1" customHeight="1">
      <c r="A87" s="13"/>
      <c r="B87" s="13"/>
      <c r="C87" s="13"/>
      <c r="D87" s="13"/>
      <c r="E87" s="13"/>
      <c r="F87" s="13"/>
      <c r="G87" s="13"/>
      <c r="H87" s="13"/>
      <c r="I87" s="13"/>
      <c r="J87" s="13"/>
      <c r="K87" s="13"/>
      <c r="L87" s="13"/>
      <c r="M87" s="13"/>
      <c r="N87" s="13"/>
      <c r="O87" s="13"/>
      <c r="P87" s="13"/>
      <c r="Q87" s="13"/>
      <c r="R87" s="13"/>
      <c r="S87" s="13"/>
      <c r="T87" s="13"/>
      <c r="U87" s="13"/>
      <c r="V87" s="13"/>
      <c r="W87" s="13"/>
      <c r="X87" s="2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row>
    <row r="88" spans="1:69" ht="14.1" customHeight="1">
      <c r="A88" s="13"/>
      <c r="B88" s="13"/>
      <c r="C88" s="13"/>
      <c r="D88" s="13"/>
      <c r="E88" s="13"/>
      <c r="F88" s="13"/>
      <c r="G88" s="13"/>
      <c r="H88" s="13"/>
      <c r="I88" s="13"/>
      <c r="J88" s="13"/>
      <c r="K88" s="13"/>
      <c r="L88" s="13"/>
      <c r="M88" s="13"/>
      <c r="N88" s="13"/>
      <c r="O88" s="13"/>
      <c r="P88" s="13"/>
      <c r="Q88" s="13"/>
      <c r="R88" s="13"/>
      <c r="S88" s="13"/>
      <c r="T88" s="13"/>
      <c r="U88" s="13"/>
      <c r="V88" s="13"/>
      <c r="W88" s="13"/>
      <c r="X88" s="2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row>
    <row r="89" spans="1:69" ht="14.1" customHeight="1">
      <c r="A89" s="13"/>
      <c r="B89" s="13"/>
      <c r="C89" s="13"/>
      <c r="D89" s="13"/>
      <c r="E89" s="13"/>
      <c r="F89" s="13"/>
      <c r="G89" s="13"/>
      <c r="H89" s="13"/>
      <c r="I89" s="13"/>
      <c r="J89" s="13"/>
      <c r="K89" s="13"/>
      <c r="L89" s="13"/>
      <c r="M89" s="13"/>
      <c r="N89" s="13"/>
      <c r="O89" s="13"/>
      <c r="P89" s="13"/>
      <c r="Q89" s="13"/>
      <c r="R89" s="13"/>
      <c r="S89" s="13"/>
      <c r="T89" s="13"/>
      <c r="U89" s="13"/>
      <c r="V89" s="13"/>
      <c r="W89" s="13"/>
      <c r="X89" s="2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row>
    <row r="90" spans="1:69" ht="14.1" customHeight="1">
      <c r="A90" s="13"/>
      <c r="B90" s="13"/>
      <c r="C90" s="13"/>
      <c r="D90" s="13"/>
      <c r="E90" s="13"/>
      <c r="F90" s="13"/>
      <c r="G90" s="13"/>
      <c r="H90" s="13"/>
      <c r="I90" s="13"/>
      <c r="J90" s="13"/>
      <c r="K90" s="13"/>
      <c r="L90" s="13"/>
      <c r="M90" s="13"/>
      <c r="N90" s="13"/>
      <c r="O90" s="13"/>
      <c r="P90" s="13"/>
      <c r="Q90" s="13"/>
      <c r="R90" s="13"/>
      <c r="S90" s="13"/>
      <c r="T90" s="13"/>
      <c r="U90" s="13"/>
      <c r="V90" s="13"/>
      <c r="W90" s="13"/>
      <c r="X90" s="2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row>
    <row r="91" spans="1:69" ht="14.1" customHeight="1">
      <c r="A91" s="13"/>
      <c r="B91" s="13"/>
      <c r="C91" s="13"/>
      <c r="D91" s="13"/>
      <c r="E91" s="13"/>
      <c r="F91" s="13"/>
      <c r="G91" s="13"/>
      <c r="H91" s="13"/>
      <c r="I91" s="13"/>
      <c r="J91" s="13"/>
      <c r="K91" s="13"/>
      <c r="L91" s="13"/>
      <c r="M91" s="13"/>
      <c r="N91" s="13"/>
      <c r="O91" s="13"/>
      <c r="P91" s="13"/>
      <c r="Q91" s="13"/>
      <c r="R91" s="13"/>
      <c r="S91" s="13"/>
      <c r="T91" s="13"/>
      <c r="U91" s="13"/>
      <c r="V91" s="13"/>
      <c r="W91" s="13"/>
      <c r="X91" s="2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row>
    <row r="92" spans="1:69" ht="14.1" customHeight="1">
      <c r="A92" s="13"/>
      <c r="B92" s="13"/>
      <c r="C92" s="13"/>
      <c r="D92" s="13"/>
      <c r="E92" s="13"/>
      <c r="F92" s="13"/>
      <c r="G92" s="13"/>
      <c r="H92" s="13"/>
      <c r="I92" s="13"/>
      <c r="J92" s="13"/>
      <c r="K92" s="13"/>
      <c r="L92" s="13"/>
      <c r="M92" s="13"/>
      <c r="N92" s="13"/>
      <c r="O92" s="13"/>
      <c r="P92" s="13"/>
      <c r="Q92" s="13"/>
      <c r="R92" s="13"/>
      <c r="S92" s="13"/>
      <c r="T92" s="13"/>
      <c r="U92" s="13"/>
      <c r="V92" s="13"/>
      <c r="W92" s="13"/>
      <c r="X92" s="2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row>
    <row r="93" spans="1:69" ht="14.1" customHeight="1">
      <c r="A93" s="13"/>
      <c r="B93" s="13"/>
      <c r="C93" s="13"/>
      <c r="D93" s="13"/>
      <c r="E93" s="13"/>
      <c r="F93" s="13"/>
      <c r="G93" s="13"/>
      <c r="H93" s="13"/>
      <c r="I93" s="13"/>
      <c r="J93" s="13"/>
      <c r="K93" s="13"/>
      <c r="L93" s="13"/>
      <c r="M93" s="13"/>
      <c r="N93" s="13"/>
      <c r="O93" s="13"/>
      <c r="P93" s="13"/>
      <c r="Q93" s="13"/>
      <c r="R93" s="13"/>
      <c r="S93" s="13"/>
      <c r="T93" s="13"/>
      <c r="U93" s="13"/>
      <c r="V93" s="13"/>
      <c r="W93" s="13"/>
      <c r="X93" s="2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row>
    <row r="94" spans="1:69" ht="14.1" customHeight="1">
      <c r="A94" s="13"/>
      <c r="B94" s="13"/>
      <c r="C94" s="13"/>
      <c r="D94" s="13"/>
      <c r="E94" s="13"/>
      <c r="F94" s="13"/>
      <c r="G94" s="13"/>
      <c r="H94" s="13"/>
      <c r="I94" s="13"/>
      <c r="J94" s="13"/>
      <c r="K94" s="13"/>
      <c r="L94" s="13"/>
      <c r="M94" s="13"/>
      <c r="N94" s="13"/>
      <c r="O94" s="13"/>
      <c r="P94" s="13"/>
      <c r="Q94" s="13"/>
      <c r="R94" s="13"/>
      <c r="S94" s="13"/>
      <c r="T94" s="13"/>
      <c r="U94" s="13"/>
      <c r="V94" s="13"/>
      <c r="W94" s="13"/>
      <c r="X94" s="2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row>
    <row r="95" spans="1:69" ht="14.1" customHeight="1">
      <c r="A95" s="15"/>
      <c r="B95" s="15"/>
      <c r="C95" s="15"/>
      <c r="D95" s="15"/>
      <c r="E95" s="15"/>
      <c r="F95" s="15"/>
      <c r="G95" s="15"/>
      <c r="H95" s="15"/>
      <c r="I95" s="15"/>
      <c r="J95" s="15"/>
      <c r="K95" s="15"/>
      <c r="L95" s="15"/>
      <c r="M95" s="15"/>
      <c r="N95" s="15"/>
      <c r="O95" s="15"/>
      <c r="P95" s="15"/>
      <c r="Q95" s="15"/>
      <c r="R95" s="15"/>
      <c r="S95" s="15"/>
      <c r="T95" s="15"/>
      <c r="U95" s="15"/>
      <c r="V95" s="15"/>
      <c r="W95" s="15"/>
      <c r="X95" s="28"/>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row>
    <row r="96" spans="1:69" ht="14.1" customHeight="1">
      <c r="A96" s="15"/>
      <c r="B96" s="15"/>
      <c r="C96" s="15"/>
      <c r="D96" s="15"/>
      <c r="E96" s="15"/>
      <c r="F96" s="15"/>
      <c r="G96" s="15"/>
      <c r="H96" s="15"/>
      <c r="I96" s="15"/>
      <c r="J96" s="15"/>
      <c r="K96" s="15"/>
      <c r="L96" s="15"/>
      <c r="M96" s="15"/>
      <c r="N96" s="15"/>
      <c r="O96" s="15"/>
      <c r="P96" s="15"/>
      <c r="Q96" s="15"/>
      <c r="R96" s="15"/>
      <c r="S96" s="15"/>
      <c r="T96" s="15"/>
      <c r="U96" s="15"/>
      <c r="V96" s="15"/>
      <c r="W96" s="15"/>
      <c r="X96" s="28"/>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row>
    <row r="97" spans="1:69" ht="14.1" customHeight="1">
      <c r="A97" s="15"/>
      <c r="B97" s="15"/>
      <c r="C97" s="15"/>
      <c r="D97" s="15"/>
      <c r="E97" s="15"/>
      <c r="F97" s="15"/>
      <c r="G97" s="15"/>
      <c r="H97" s="15"/>
      <c r="I97" s="15"/>
      <c r="J97" s="15"/>
      <c r="K97" s="15"/>
      <c r="L97" s="15"/>
      <c r="M97" s="15"/>
      <c r="N97" s="15"/>
      <c r="O97" s="15"/>
      <c r="P97" s="15"/>
      <c r="Q97" s="15"/>
      <c r="R97" s="15"/>
      <c r="S97" s="15"/>
      <c r="T97" s="15"/>
      <c r="U97" s="15"/>
      <c r="V97" s="15"/>
      <c r="W97" s="15"/>
      <c r="X97" s="28"/>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row>
    <row r="98" spans="1:69" ht="14.1" customHeight="1">
      <c r="A98" s="15"/>
      <c r="B98" s="15"/>
      <c r="C98" s="15"/>
      <c r="D98" s="15"/>
      <c r="E98" s="15"/>
      <c r="F98" s="15"/>
      <c r="G98" s="15"/>
      <c r="H98" s="15"/>
      <c r="I98" s="15"/>
      <c r="J98" s="15"/>
      <c r="K98" s="15"/>
      <c r="L98" s="15"/>
      <c r="M98" s="15"/>
      <c r="N98" s="15"/>
      <c r="O98" s="15"/>
      <c r="P98" s="15"/>
      <c r="Q98" s="15"/>
      <c r="R98" s="15"/>
      <c r="S98" s="15"/>
      <c r="T98" s="15"/>
      <c r="U98" s="15"/>
      <c r="V98" s="15"/>
      <c r="W98" s="15"/>
      <c r="X98" s="28"/>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row>
    <row r="99" spans="1:69" ht="14.1" customHeight="1">
      <c r="A99" s="15"/>
      <c r="B99" s="15"/>
      <c r="C99" s="15"/>
      <c r="D99" s="15"/>
      <c r="E99" s="15"/>
      <c r="F99" s="15"/>
      <c r="G99" s="15"/>
      <c r="H99" s="15"/>
      <c r="I99" s="15"/>
      <c r="J99" s="15"/>
      <c r="K99" s="15"/>
      <c r="L99" s="15"/>
      <c r="M99" s="15"/>
      <c r="N99" s="15"/>
      <c r="O99" s="15"/>
      <c r="P99" s="15"/>
      <c r="Q99" s="15"/>
      <c r="R99" s="15"/>
      <c r="S99" s="15"/>
      <c r="T99" s="15"/>
      <c r="U99" s="15"/>
      <c r="V99" s="15"/>
      <c r="W99" s="15"/>
      <c r="X99" s="28"/>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row>
    <row r="100" spans="1:69" ht="14.1"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28"/>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row>
    <row r="101" spans="1:69" ht="14.1"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28"/>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row>
    <row r="102" spans="1:69" ht="14.1"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28"/>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row>
    <row r="103" spans="1:69" ht="14.1"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28"/>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row>
    <row r="104" spans="1:69" ht="14.1"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28"/>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row>
    <row r="105" spans="1:69" ht="14.1" customHeight="1"/>
    <row r="106" spans="1:69" ht="14.1" customHeight="1"/>
    <row r="107" spans="1:69" ht="14.1" customHeight="1"/>
    <row r="108" spans="1:69" ht="14.1" customHeight="1"/>
    <row r="109" spans="1:69" ht="14.1" customHeight="1"/>
    <row r="110" spans="1:69" ht="14.1" customHeight="1"/>
  </sheetData>
  <mergeCells count="285">
    <mergeCell ref="AF56:AG56"/>
    <mergeCell ref="AD55:AE55"/>
    <mergeCell ref="AF55:AG55"/>
    <mergeCell ref="AH55:AI55"/>
    <mergeCell ref="AB56:AC56"/>
    <mergeCell ref="D48:O48"/>
    <mergeCell ref="D49:O49"/>
    <mergeCell ref="D50:O50"/>
    <mergeCell ref="D51:O51"/>
    <mergeCell ref="D52:O52"/>
    <mergeCell ref="D53:O53"/>
    <mergeCell ref="D54:O54"/>
    <mergeCell ref="D55:O55"/>
    <mergeCell ref="D56:O56"/>
    <mergeCell ref="V48:W48"/>
    <mergeCell ref="X48:Y48"/>
    <mergeCell ref="Z48:AA48"/>
    <mergeCell ref="AB48:AC48"/>
    <mergeCell ref="AD48:AE48"/>
    <mergeCell ref="AF48:AG48"/>
    <mergeCell ref="V49:W49"/>
    <mergeCell ref="X49:Y49"/>
    <mergeCell ref="Z49:AA49"/>
    <mergeCell ref="AB49:AC49"/>
    <mergeCell ref="BL56:BQ56"/>
    <mergeCell ref="BL50:BQ50"/>
    <mergeCell ref="BL51:BQ51"/>
    <mergeCell ref="BL52:BQ52"/>
    <mergeCell ref="BL53:BQ53"/>
    <mergeCell ref="BL54:BQ54"/>
    <mergeCell ref="BL55:BQ55"/>
    <mergeCell ref="BL48:BQ48"/>
    <mergeCell ref="BL49:BQ49"/>
    <mergeCell ref="BZ18:CB18"/>
    <mergeCell ref="Z19:AE21"/>
    <mergeCell ref="AL20:AP21"/>
    <mergeCell ref="Z27:AE29"/>
    <mergeCell ref="AL28:AP29"/>
    <mergeCell ref="BI27:BM29"/>
    <mergeCell ref="BI19:BM21"/>
    <mergeCell ref="AW47:AX47"/>
    <mergeCell ref="AY47:BE47"/>
    <mergeCell ref="BF47:BG47"/>
    <mergeCell ref="BL47:BQ47"/>
    <mergeCell ref="BA41:BN42"/>
    <mergeCell ref="AH47:AI47"/>
    <mergeCell ref="AL47:AM47"/>
    <mergeCell ref="AN47:AO47"/>
    <mergeCell ref="AP47:AV47"/>
    <mergeCell ref="A76:BQ76"/>
    <mergeCell ref="I69:R69"/>
    <mergeCell ref="W69:BI69"/>
    <mergeCell ref="A70:BQ70"/>
    <mergeCell ref="A71:BQ71"/>
    <mergeCell ref="A72:BQ72"/>
    <mergeCell ref="A65:BQ65"/>
    <mergeCell ref="I66:R66"/>
    <mergeCell ref="X66:BI66"/>
    <mergeCell ref="I67:R67"/>
    <mergeCell ref="W67:BI67"/>
    <mergeCell ref="I68:R68"/>
    <mergeCell ref="W68:BI68"/>
    <mergeCell ref="A73:BQ73"/>
    <mergeCell ref="A75:BQ75"/>
    <mergeCell ref="A63:BQ63"/>
    <mergeCell ref="AL55:AM55"/>
    <mergeCell ref="AN55:AO55"/>
    <mergeCell ref="AP55:AV55"/>
    <mergeCell ref="AD56:AE56"/>
    <mergeCell ref="A58:BQ59"/>
    <mergeCell ref="A61:BQ62"/>
    <mergeCell ref="BF56:BG56"/>
    <mergeCell ref="AL56:AM56"/>
    <mergeCell ref="AN56:AO56"/>
    <mergeCell ref="AP56:AV56"/>
    <mergeCell ref="V56:W56"/>
    <mergeCell ref="X56:Y56"/>
    <mergeCell ref="P56:Q56"/>
    <mergeCell ref="R56:S56"/>
    <mergeCell ref="BF55:BG55"/>
    <mergeCell ref="BH55:BI55"/>
    <mergeCell ref="BJ55:BK55"/>
    <mergeCell ref="AW56:AX56"/>
    <mergeCell ref="AY56:BE56"/>
    <mergeCell ref="T56:U56"/>
    <mergeCell ref="X55:Y55"/>
    <mergeCell ref="Z55:AA55"/>
    <mergeCell ref="AB55:AC55"/>
    <mergeCell ref="A64:BQ64"/>
    <mergeCell ref="A57:BQ57"/>
    <mergeCell ref="BH56:BI56"/>
    <mergeCell ref="BJ56:BK56"/>
    <mergeCell ref="A56:C56"/>
    <mergeCell ref="V54:W54"/>
    <mergeCell ref="X54:Y54"/>
    <mergeCell ref="Z54:AA54"/>
    <mergeCell ref="AB54:AC54"/>
    <mergeCell ref="AD54:AE54"/>
    <mergeCell ref="AF54:AG54"/>
    <mergeCell ref="A55:C55"/>
    <mergeCell ref="AH56:AI56"/>
    <mergeCell ref="AJ56:AK56"/>
    <mergeCell ref="P55:Q55"/>
    <mergeCell ref="R55:S55"/>
    <mergeCell ref="T55:U55"/>
    <mergeCell ref="V55:W55"/>
    <mergeCell ref="Z56:AA56"/>
    <mergeCell ref="A60:BQ60"/>
    <mergeCell ref="A54:C54"/>
    <mergeCell ref="P54:Q54"/>
    <mergeCell ref="R54:S54"/>
    <mergeCell ref="T54:U54"/>
    <mergeCell ref="AW53:AX53"/>
    <mergeCell ref="AJ55:AK55"/>
    <mergeCell ref="BH54:BI54"/>
    <mergeCell ref="BJ54:BK54"/>
    <mergeCell ref="AY55:BE55"/>
    <mergeCell ref="AW54:AX54"/>
    <mergeCell ref="AY54:BE54"/>
    <mergeCell ref="BF54:BG54"/>
    <mergeCell ref="AW55:AX55"/>
    <mergeCell ref="AY53:BE53"/>
    <mergeCell ref="BF53:BG53"/>
    <mergeCell ref="BH53:BI53"/>
    <mergeCell ref="BJ53:BK53"/>
    <mergeCell ref="AL54:AM54"/>
    <mergeCell ref="AN54:AO54"/>
    <mergeCell ref="AP54:AV54"/>
    <mergeCell ref="AJ53:AK53"/>
    <mergeCell ref="AL53:AM53"/>
    <mergeCell ref="AN53:AO53"/>
    <mergeCell ref="AP53:AV53"/>
    <mergeCell ref="AD52:AE52"/>
    <mergeCell ref="AF52:AG52"/>
    <mergeCell ref="A52:C52"/>
    <mergeCell ref="P52:Q52"/>
    <mergeCell ref="AL52:AM52"/>
    <mergeCell ref="AN52:AO52"/>
    <mergeCell ref="AP52:AV52"/>
    <mergeCell ref="A53:C53"/>
    <mergeCell ref="AH54:AI54"/>
    <mergeCell ref="AJ54:AK54"/>
    <mergeCell ref="P53:Q53"/>
    <mergeCell ref="R53:S53"/>
    <mergeCell ref="T53:U53"/>
    <mergeCell ref="V53:W53"/>
    <mergeCell ref="X53:Y53"/>
    <mergeCell ref="Z53:AA53"/>
    <mergeCell ref="AB53:AC53"/>
    <mergeCell ref="AD53:AE53"/>
    <mergeCell ref="AF53:AG53"/>
    <mergeCell ref="AH53:AI53"/>
    <mergeCell ref="P49:Q49"/>
    <mergeCell ref="R49:S49"/>
    <mergeCell ref="T51:U51"/>
    <mergeCell ref="V51:W51"/>
    <mergeCell ref="AJ50:AK50"/>
    <mergeCell ref="AJ49:AK49"/>
    <mergeCell ref="A49:C49"/>
    <mergeCell ref="T49:U49"/>
    <mergeCell ref="AJ51:AK51"/>
    <mergeCell ref="V50:W50"/>
    <mergeCell ref="X50:Y50"/>
    <mergeCell ref="Z50:AA50"/>
    <mergeCell ref="AB50:AC50"/>
    <mergeCell ref="A50:C50"/>
    <mergeCell ref="P50:Q50"/>
    <mergeCell ref="R50:S50"/>
    <mergeCell ref="T50:U50"/>
    <mergeCell ref="AD50:AE50"/>
    <mergeCell ref="X51:Y51"/>
    <mergeCell ref="Z51:AA51"/>
    <mergeCell ref="AB51:AC51"/>
    <mergeCell ref="AD51:AE51"/>
    <mergeCell ref="AF51:AG51"/>
    <mergeCell ref="AH51:AI51"/>
    <mergeCell ref="AY51:BE51"/>
    <mergeCell ref="BF51:BG51"/>
    <mergeCell ref="BH51:BI51"/>
    <mergeCell ref="BJ51:BK51"/>
    <mergeCell ref="A51:C51"/>
    <mergeCell ref="AH52:AI52"/>
    <mergeCell ref="AJ52:AK52"/>
    <mergeCell ref="P51:Q51"/>
    <mergeCell ref="R51:S51"/>
    <mergeCell ref="AL51:AM51"/>
    <mergeCell ref="AN51:AO51"/>
    <mergeCell ref="AP51:AV51"/>
    <mergeCell ref="AW51:AX51"/>
    <mergeCell ref="BF52:BG52"/>
    <mergeCell ref="BH52:BI52"/>
    <mergeCell ref="BJ52:BK52"/>
    <mergeCell ref="R52:S52"/>
    <mergeCell ref="T52:U52"/>
    <mergeCell ref="AW52:AX52"/>
    <mergeCell ref="AY52:BE52"/>
    <mergeCell ref="V52:W52"/>
    <mergeCell ref="X52:Y52"/>
    <mergeCell ref="Z52:AA52"/>
    <mergeCell ref="AB52:AC52"/>
    <mergeCell ref="BH49:BI49"/>
    <mergeCell ref="BJ49:BK49"/>
    <mergeCell ref="AW49:AX49"/>
    <mergeCell ref="AY49:BE49"/>
    <mergeCell ref="BF49:BG49"/>
    <mergeCell ref="AL49:AM49"/>
    <mergeCell ref="AN49:AO49"/>
    <mergeCell ref="AP49:AV49"/>
    <mergeCell ref="AW50:AX50"/>
    <mergeCell ref="AY50:BE50"/>
    <mergeCell ref="BF50:BG50"/>
    <mergeCell ref="BH50:BI50"/>
    <mergeCell ref="BJ50:BK50"/>
    <mergeCell ref="AH48:AI48"/>
    <mergeCell ref="AJ48:AK48"/>
    <mergeCell ref="AL48:AM48"/>
    <mergeCell ref="AN48:AO48"/>
    <mergeCell ref="AP48:AV48"/>
    <mergeCell ref="AD49:AE49"/>
    <mergeCell ref="AF49:AG49"/>
    <mergeCell ref="AH49:AI49"/>
    <mergeCell ref="AL50:AM50"/>
    <mergeCell ref="AN50:AO50"/>
    <mergeCell ref="AP50:AV50"/>
    <mergeCell ref="AF50:AG50"/>
    <mergeCell ref="AH50:AI50"/>
    <mergeCell ref="A48:C48"/>
    <mergeCell ref="P48:Q48"/>
    <mergeCell ref="R48:S48"/>
    <mergeCell ref="BH47:BI47"/>
    <mergeCell ref="BJ47:BK47"/>
    <mergeCell ref="AJ47:AK47"/>
    <mergeCell ref="AD47:AE47"/>
    <mergeCell ref="D9:AF9"/>
    <mergeCell ref="B7:AF7"/>
    <mergeCell ref="T48:U48"/>
    <mergeCell ref="A47:C47"/>
    <mergeCell ref="P47:Q47"/>
    <mergeCell ref="R47:S47"/>
    <mergeCell ref="T47:U47"/>
    <mergeCell ref="V47:W47"/>
    <mergeCell ref="X47:Y47"/>
    <mergeCell ref="Z47:AA47"/>
    <mergeCell ref="AB47:AC47"/>
    <mergeCell ref="AF47:AG47"/>
    <mergeCell ref="AW48:AX48"/>
    <mergeCell ref="AY48:BE48"/>
    <mergeCell ref="BF48:BG48"/>
    <mergeCell ref="BH48:BI48"/>
    <mergeCell ref="BJ48:BK48"/>
    <mergeCell ref="BN2:BO2"/>
    <mergeCell ref="B3:T3"/>
    <mergeCell ref="AH3:BE3"/>
    <mergeCell ref="B1:BP1"/>
    <mergeCell ref="B2:T2"/>
    <mergeCell ref="U2:V2"/>
    <mergeCell ref="W2:X2"/>
    <mergeCell ref="Z2:AA2"/>
    <mergeCell ref="AC2:AD2"/>
    <mergeCell ref="AH2:BE2"/>
    <mergeCell ref="BF2:BG2"/>
    <mergeCell ref="BH2:BI2"/>
    <mergeCell ref="BK2:BL2"/>
    <mergeCell ref="D46:O46"/>
    <mergeCell ref="D47:O47"/>
    <mergeCell ref="P46:AO46"/>
    <mergeCell ref="AP46:AX46"/>
    <mergeCell ref="AH4:BE6"/>
    <mergeCell ref="A4:L6"/>
    <mergeCell ref="B10:AF10"/>
    <mergeCell ref="D12:AF12"/>
    <mergeCell ref="B14:N15"/>
    <mergeCell ref="A46:C46"/>
    <mergeCell ref="C43:BP43"/>
    <mergeCell ref="A44:BQ44"/>
    <mergeCell ref="AY46:BG46"/>
    <mergeCell ref="BH46:BK46"/>
    <mergeCell ref="BL46:BQ46"/>
    <mergeCell ref="R36:W38"/>
    <mergeCell ref="BF4:BQ4"/>
    <mergeCell ref="BF6:BQ6"/>
    <mergeCell ref="BF36:BJ38"/>
    <mergeCell ref="C20:G21"/>
    <mergeCell ref="C28:G29"/>
    <mergeCell ref="N6:AE6"/>
  </mergeCells>
  <phoneticPr fontId="1"/>
  <conditionalFormatting sqref="D37">
    <cfRule type="expression" dxfId="22" priority="11">
      <formula>$BD$28=2</formula>
    </cfRule>
  </conditionalFormatting>
  <conditionalFormatting sqref="M4:M5">
    <cfRule type="expression" dxfId="21" priority="2">
      <formula>$BD$28=2</formula>
    </cfRule>
  </conditionalFormatting>
  <conditionalFormatting sqref="M18">
    <cfRule type="expression" dxfId="20" priority="20">
      <formula>$BD$28=2</formula>
    </cfRule>
  </conditionalFormatting>
  <conditionalFormatting sqref="M21">
    <cfRule type="expression" dxfId="19" priority="19">
      <formula>$BD$28=2</formula>
    </cfRule>
  </conditionalFormatting>
  <conditionalFormatting sqref="M26">
    <cfRule type="expression" dxfId="18" priority="16">
      <formula>$BD$28=2</formula>
    </cfRule>
  </conditionalFormatting>
  <conditionalFormatting sqref="M29">
    <cfRule type="expression" dxfId="17" priority="15">
      <formula>$BD$28=2</formula>
    </cfRule>
  </conditionalFormatting>
  <conditionalFormatting sqref="R4 T4 R5:S5 D34">
    <cfRule type="expression" dxfId="16" priority="12">
      <formula>$BD$28=2</formula>
    </cfRule>
  </conditionalFormatting>
  <conditionalFormatting sqref="U5">
    <cfRule type="expression" dxfId="15" priority="1">
      <formula>$BD$28=2</formula>
    </cfRule>
  </conditionalFormatting>
  <conditionalFormatting sqref="U3:AF3">
    <cfRule type="expression" dxfId="14" priority="34">
      <formula>$BU$3=0</formula>
    </cfRule>
  </conditionalFormatting>
  <conditionalFormatting sqref="W4">
    <cfRule type="expression" dxfId="13" priority="4">
      <formula>$BD$28=2</formula>
    </cfRule>
  </conditionalFormatting>
  <conditionalFormatting sqref="AA4:AA5">
    <cfRule type="expression" dxfId="12" priority="3">
      <formula>$BD$28=2</formula>
    </cfRule>
  </conditionalFormatting>
  <conditionalFormatting sqref="AG7:BQ8">
    <cfRule type="expression" dxfId="11" priority="31">
      <formula>$BU$7=0</formula>
    </cfRule>
  </conditionalFormatting>
  <conditionalFormatting sqref="AG9:BQ9">
    <cfRule type="expression" dxfId="10" priority="35">
      <formula>$BU$9=0</formula>
    </cfRule>
  </conditionalFormatting>
  <conditionalFormatting sqref="AG10:BQ11">
    <cfRule type="expression" dxfId="9" priority="7">
      <formula>$BU$10=0</formula>
    </cfRule>
  </conditionalFormatting>
  <conditionalFormatting sqref="AG12:BQ12">
    <cfRule type="expression" dxfId="8" priority="8">
      <formula>$BU$11=0</formula>
    </cfRule>
  </conditionalFormatting>
  <conditionalFormatting sqref="AR34">
    <cfRule type="expression" dxfId="7" priority="10">
      <formula>$BD$28=2</formula>
    </cfRule>
  </conditionalFormatting>
  <conditionalFormatting sqref="AR37">
    <cfRule type="expression" dxfId="6" priority="9">
      <formula>$BD$28=2</formula>
    </cfRule>
  </conditionalFormatting>
  <conditionalFormatting sqref="AV18">
    <cfRule type="expression" dxfId="5" priority="18">
      <formula>$BD$28=2</formula>
    </cfRule>
  </conditionalFormatting>
  <conditionalFormatting sqref="AV21">
    <cfRule type="expression" dxfId="4" priority="17">
      <formula>$BD$28=2</formula>
    </cfRule>
  </conditionalFormatting>
  <conditionalFormatting sqref="AV26">
    <cfRule type="expression" dxfId="3" priority="14">
      <formula>$BD$28=2</formula>
    </cfRule>
  </conditionalFormatting>
  <conditionalFormatting sqref="AV29">
    <cfRule type="expression" dxfId="2" priority="13">
      <formula>$BD$28=2</formula>
    </cfRule>
  </conditionalFormatting>
  <conditionalFormatting sqref="BF3:BQ3">
    <cfRule type="expression" dxfId="1" priority="24">
      <formula>$BV$3=0</formula>
    </cfRule>
  </conditionalFormatting>
  <conditionalFormatting sqref="BF4:BQ6">
    <cfRule type="expression" dxfId="0" priority="32">
      <formula>$BU$4=0</formula>
    </cfRule>
  </conditionalFormatting>
  <dataValidations disablePrompts="1" count="11">
    <dataValidation type="list" allowBlank="1" showInputMessage="1" showErrorMessage="1" sqref="BL47:BL56" xr:uid="{00000000-0002-0000-0000-000000000000}">
      <formula1>"〇"</formula1>
    </dataValidation>
    <dataValidation type="list" allowBlank="1" showInputMessage="1" showErrorMessage="1" sqref="U2:V2 AP8 BF2:BG2 AP11" xr:uid="{00000000-0002-0000-0000-000001000000}">
      <formula1>"平成,令和"</formula1>
    </dataValidation>
    <dataValidation type="list" allowBlank="1" showInputMessage="1" showErrorMessage="1" sqref="W2:X2 BH2:BI2" xr:uid="{00000000-0002-0000-0000-000002000000}">
      <formula1>" 1,2,3,4,5,6,7,8,9,10,11,12,13,14,15,16,17,18,19,20,21,22,23,24,25,26,27,28,29,30,31,32"</formula1>
    </dataValidation>
    <dataValidation type="list" allowBlank="1" showInputMessage="1" showErrorMessage="1" sqref="AC2:AD2 BN2:BO2" xr:uid="{00000000-0002-0000-0000-000003000000}">
      <formula1>" 1,2,3,4,5,6,7,8,9,10,11,12,13,14,15,16,17,18,19,20,21,22,23,24,25,26,27,28,29,30,31"</formula1>
    </dataValidation>
    <dataValidation type="list" allowBlank="1" showInputMessage="1" showErrorMessage="1" sqref="Z2:AA2 BK2:BL2" xr:uid="{00000000-0002-0000-0000-000004000000}">
      <formula1>"1,2,3,4,5,6,7,8,9,10,11,12"</formula1>
    </dataValidation>
    <dataValidation type="list" allowBlank="1" showInputMessage="1" showErrorMessage="1" sqref="AW8:AX8 AW11:AX11" xr:uid="{00000000-0002-0000-0000-000005000000}">
      <formula1>"1,2,3,4,5,6,7,8,9,10,11,12,13,14,15,16,17,18,19,20,21,22,23,24,25,26,27,28,29,30,31,"</formula1>
    </dataValidation>
    <dataValidation type="list" allowBlank="1" showInputMessage="1" showErrorMessage="1" sqref="AT8:AU8 AT11:AU11" xr:uid="{00000000-0002-0000-0000-000006000000}">
      <formula1>"1,2,3,4,5,6,7,8,9,10,11,12,"</formula1>
    </dataValidation>
    <dataValidation type="list" allowBlank="1" showInputMessage="1" showErrorMessage="1" sqref="AQ8:AR8 AQ11:AR11" xr:uid="{00000000-0002-0000-0000-000007000000}">
      <formula1>"1,2,3,4,5,6,7,8,9,10,11,12,13,14,15,16,17,18,19,20,21,22,23,24,25,26,27,28,29,30,31,32"</formula1>
    </dataValidation>
    <dataValidation type="whole" allowBlank="1" showInputMessage="1" showErrorMessage="1" sqref="H20 AQ20 H28 AQ28" xr:uid="{00000000-0002-0000-0000-000008000000}">
      <formula1>0</formula1>
      <formula2>5</formula2>
    </dataValidation>
    <dataValidation type="whole" allowBlank="1" showInputMessage="1" showErrorMessage="1" sqref="C20:G21 AL20:AP21 G24:H24 C28:G29 AL28:AP29" xr:uid="{00000000-0002-0000-0000-00000A000000}">
      <formula1>0</formula1>
      <formula2>100</formula2>
    </dataValidation>
    <dataValidation type="list" allowBlank="1" showInputMessage="1" showErrorMessage="1" sqref="M18 M21 AV18 AV21 M26 M29 AV26 AV29 D34 D37 AR34 AR37 AA4:AA5 M4:M5 T4 R5:S5 R4 U5 W4" xr:uid="{B5FB8202-346A-4E70-AB9E-BC9333FF2C95}">
      <formula1>"□,☑"</formula1>
    </dataValidation>
  </dataValidations>
  <pageMargins left="0.70866141732283472" right="0.70866141732283472" top="0.55118110236220474" bottom="0.55118110236220474" header="0.31496062992125984" footer="0.31496062992125984"/>
  <pageSetup paperSize="9" scale="81" fitToHeight="0" orientation="portrait" r:id="rId1"/>
  <headerFooter differentOddEven="1" differentFirst="1">
    <evenHeader>&amp;L&amp;"ＭＳ ゴシック,標準"&amp;8様式第３号（別添様式３）（第２面&amp;K000000）（R8.4）  （令和８年４月１日以降に取組を行った場合、この様式で申請してください。）</evenHeader>
    <firstHeader>&amp;L&amp;"ＭＳ ゴシック,標準"&amp;8様式&amp;K000000第３号（別添様式３）（第１面）（R8.4）  （令和８年４&amp;K01+000月１日以降に取組を行った場合、この様式で申請してください。）</firstHeader>
  </headerFooter>
  <rowBreaks count="1" manualBreakCount="1">
    <brk id="56" max="69" man="1"/>
  </rowBreaks>
  <colBreaks count="1" manualBreakCount="1">
    <brk id="69" max="75" man="1"/>
  </colBreaks>
  <drawing r:id="rId2"/>
  <legacyDrawing r:id="rId3"/>
  <mc:AlternateContent xmlns:mc="http://schemas.openxmlformats.org/markup-compatibility/2006">
    <mc:Choice Requires="x14">
      <controls>
        <mc:AlternateContent xmlns:mc="http://schemas.openxmlformats.org/markup-compatibility/2006">
          <mc:Choice Requires="x14">
            <control shapeId="5216" r:id="rId4" name="Group Box ⑦１">
              <controlPr defaultSize="0" autoFill="0" autoPict="0">
                <anchor moveWithCells="1">
                  <from>
                    <xdr:col>33</xdr:col>
                    <xdr:colOff>9525</xdr:colOff>
                    <xdr:row>6</xdr:row>
                    <xdr:rowOff>47625</xdr:rowOff>
                  </from>
                  <to>
                    <xdr:col>66</xdr:col>
                    <xdr:colOff>76200</xdr:colOff>
                    <xdr:row>8</xdr:row>
                    <xdr:rowOff>19050</xdr:rowOff>
                  </to>
                </anchor>
              </controlPr>
            </control>
          </mc:Choice>
        </mc:AlternateContent>
        <mc:AlternateContent xmlns:mc="http://schemas.openxmlformats.org/markup-compatibility/2006">
          <mc:Choice Requires="x14">
            <control shapeId="5217" r:id="rId5" name="Group Box ⑦２">
              <controlPr defaultSize="0" autoFill="0" autoPict="0">
                <anchor moveWithCells="1">
                  <from>
                    <xdr:col>33</xdr:col>
                    <xdr:colOff>9525</xdr:colOff>
                    <xdr:row>8</xdr:row>
                    <xdr:rowOff>0</xdr:rowOff>
                  </from>
                  <to>
                    <xdr:col>65</xdr:col>
                    <xdr:colOff>76200</xdr:colOff>
                    <xdr:row>8</xdr:row>
                    <xdr:rowOff>247650</xdr:rowOff>
                  </to>
                </anchor>
              </controlPr>
            </control>
          </mc:Choice>
        </mc:AlternateContent>
        <mc:AlternateContent xmlns:mc="http://schemas.openxmlformats.org/markup-compatibility/2006">
          <mc:Choice Requires="x14">
            <control shapeId="5232" r:id="rId6" name="Option Button ⑥２">
              <controlPr defaultSize="0" autoFill="0" autoLine="0" autoPict="0">
                <anchor moveWithCells="1">
                  <from>
                    <xdr:col>58</xdr:col>
                    <xdr:colOff>38100</xdr:colOff>
                    <xdr:row>4</xdr:row>
                    <xdr:rowOff>123825</xdr:rowOff>
                  </from>
                  <to>
                    <xdr:col>60</xdr:col>
                    <xdr:colOff>28575</xdr:colOff>
                    <xdr:row>5</xdr:row>
                    <xdr:rowOff>219075</xdr:rowOff>
                  </to>
                </anchor>
              </controlPr>
            </control>
          </mc:Choice>
        </mc:AlternateContent>
        <mc:AlternateContent xmlns:mc="http://schemas.openxmlformats.org/markup-compatibility/2006">
          <mc:Choice Requires="x14">
            <control shapeId="5233" r:id="rId7" name="Option Button ⑦１－１">
              <controlPr defaultSize="0" autoFill="0" autoLine="0" autoPict="0">
                <anchor moveWithCells="1">
                  <from>
                    <xdr:col>35</xdr:col>
                    <xdr:colOff>19050</xdr:colOff>
                    <xdr:row>6</xdr:row>
                    <xdr:rowOff>142875</xdr:rowOff>
                  </from>
                  <to>
                    <xdr:col>37</xdr:col>
                    <xdr:colOff>38100</xdr:colOff>
                    <xdr:row>8</xdr:row>
                    <xdr:rowOff>19050</xdr:rowOff>
                  </to>
                </anchor>
              </controlPr>
            </control>
          </mc:Choice>
        </mc:AlternateContent>
        <mc:AlternateContent xmlns:mc="http://schemas.openxmlformats.org/markup-compatibility/2006">
          <mc:Choice Requires="x14">
            <control shapeId="5234" r:id="rId8" name="Option Button ⑦１－２">
              <controlPr defaultSize="0" autoFill="0" autoLine="0" autoPict="0">
                <anchor moveWithCells="1">
                  <from>
                    <xdr:col>58</xdr:col>
                    <xdr:colOff>28575</xdr:colOff>
                    <xdr:row>6</xdr:row>
                    <xdr:rowOff>133350</xdr:rowOff>
                  </from>
                  <to>
                    <xdr:col>60</xdr:col>
                    <xdr:colOff>19050</xdr:colOff>
                    <xdr:row>8</xdr:row>
                    <xdr:rowOff>19050</xdr:rowOff>
                  </to>
                </anchor>
              </controlPr>
            </control>
          </mc:Choice>
        </mc:AlternateContent>
        <mc:AlternateContent xmlns:mc="http://schemas.openxmlformats.org/markup-compatibility/2006">
          <mc:Choice Requires="x14">
            <control shapeId="5235" r:id="rId9" name="Option Button ⑦２－１">
              <controlPr defaultSize="0" autoFill="0" autoLine="0" autoPict="0">
                <anchor moveWithCells="1">
                  <from>
                    <xdr:col>35</xdr:col>
                    <xdr:colOff>19050</xdr:colOff>
                    <xdr:row>8</xdr:row>
                    <xdr:rowOff>38100</xdr:rowOff>
                  </from>
                  <to>
                    <xdr:col>38</xdr:col>
                    <xdr:colOff>28575</xdr:colOff>
                    <xdr:row>8</xdr:row>
                    <xdr:rowOff>219075</xdr:rowOff>
                  </to>
                </anchor>
              </controlPr>
            </control>
          </mc:Choice>
        </mc:AlternateContent>
        <mc:AlternateContent xmlns:mc="http://schemas.openxmlformats.org/markup-compatibility/2006">
          <mc:Choice Requires="x14">
            <control shapeId="5237" r:id="rId10" name="Option Button ⑦２－２">
              <controlPr defaultSize="0" autoFill="0" autoLine="0" autoPict="0">
                <anchor moveWithCells="1">
                  <from>
                    <xdr:col>58</xdr:col>
                    <xdr:colOff>28575</xdr:colOff>
                    <xdr:row>8</xdr:row>
                    <xdr:rowOff>66675</xdr:rowOff>
                  </from>
                  <to>
                    <xdr:col>60</xdr:col>
                    <xdr:colOff>95250</xdr:colOff>
                    <xdr:row>8</xdr:row>
                    <xdr:rowOff>219075</xdr:rowOff>
                  </to>
                </anchor>
              </controlPr>
            </control>
          </mc:Choice>
        </mc:AlternateContent>
        <mc:AlternateContent xmlns:mc="http://schemas.openxmlformats.org/markup-compatibility/2006">
          <mc:Choice Requires="x14">
            <control shapeId="5345" r:id="rId11" name="Group Box ⑥">
              <controlPr defaultSize="0" autoFill="0" autoPict="0">
                <anchor moveWithCells="1">
                  <from>
                    <xdr:col>57</xdr:col>
                    <xdr:colOff>57150</xdr:colOff>
                    <xdr:row>3</xdr:row>
                    <xdr:rowOff>0</xdr:rowOff>
                  </from>
                  <to>
                    <xdr:col>67</xdr:col>
                    <xdr:colOff>95250</xdr:colOff>
                    <xdr:row>6</xdr:row>
                    <xdr:rowOff>9525</xdr:rowOff>
                  </to>
                </anchor>
              </controlPr>
            </control>
          </mc:Choice>
        </mc:AlternateContent>
        <mc:AlternateContent xmlns:mc="http://schemas.openxmlformats.org/markup-compatibility/2006">
          <mc:Choice Requires="x14">
            <control shapeId="5223" r:id="rId12" name="Group Box ⑩B">
              <controlPr defaultSize="0" autoFill="0" autoPict="0">
                <anchor moveWithCells="1">
                  <from>
                    <xdr:col>41</xdr:col>
                    <xdr:colOff>47625</xdr:colOff>
                    <xdr:row>16</xdr:row>
                    <xdr:rowOff>123825</xdr:rowOff>
                  </from>
                  <to>
                    <xdr:col>45</xdr:col>
                    <xdr:colOff>47625</xdr:colOff>
                    <xdr:row>20</xdr:row>
                    <xdr:rowOff>57150</xdr:rowOff>
                  </to>
                </anchor>
              </controlPr>
            </control>
          </mc:Choice>
        </mc:AlternateContent>
        <mc:AlternateContent xmlns:mc="http://schemas.openxmlformats.org/markup-compatibility/2006">
          <mc:Choice Requires="x14">
            <control shapeId="5222" r:id="rId13" name="Group Box ⑩A２">
              <controlPr defaultSize="0" autoFill="0" autoPict="0">
                <anchor moveWithCells="1">
                  <from>
                    <xdr:col>11</xdr:col>
                    <xdr:colOff>47625</xdr:colOff>
                    <xdr:row>24</xdr:row>
                    <xdr:rowOff>123825</xdr:rowOff>
                  </from>
                  <to>
                    <xdr:col>14</xdr:col>
                    <xdr:colOff>57150</xdr:colOff>
                    <xdr:row>28</xdr:row>
                    <xdr:rowOff>85725</xdr:rowOff>
                  </to>
                </anchor>
              </controlPr>
            </control>
          </mc:Choice>
        </mc:AlternateContent>
        <mc:AlternateContent xmlns:mc="http://schemas.openxmlformats.org/markup-compatibility/2006">
          <mc:Choice Requires="x14">
            <control shapeId="5221" r:id="rId14" name="Group Box ⑩A１">
              <controlPr defaultSize="0" autoFill="0" autoPict="0">
                <anchor moveWithCells="1">
                  <from>
                    <xdr:col>13</xdr:col>
                    <xdr:colOff>0</xdr:colOff>
                    <xdr:row>16</xdr:row>
                    <xdr:rowOff>104775</xdr:rowOff>
                  </from>
                  <to>
                    <xdr:col>16</xdr:col>
                    <xdr:colOff>76200</xdr:colOff>
                    <xdr:row>20</xdr:row>
                    <xdr:rowOff>57150</xdr:rowOff>
                  </to>
                </anchor>
              </controlPr>
            </control>
          </mc:Choice>
        </mc:AlternateContent>
        <mc:AlternateContent xmlns:mc="http://schemas.openxmlformats.org/markup-compatibility/2006">
          <mc:Choice Requires="x14">
            <control shapeId="5257" r:id="rId15" name="Option Button ④－２">
              <controlPr defaultSize="0" autoFill="0" autoLine="0" autoPict="0">
                <anchor moveWithCells="1">
                  <from>
                    <xdr:col>62</xdr:col>
                    <xdr:colOff>47625</xdr:colOff>
                    <xdr:row>2</xdr:row>
                    <xdr:rowOff>47625</xdr:rowOff>
                  </from>
                  <to>
                    <xdr:col>65</xdr:col>
                    <xdr:colOff>0</xdr:colOff>
                    <xdr:row>2</xdr:row>
                    <xdr:rowOff>295275</xdr:rowOff>
                  </to>
                </anchor>
              </controlPr>
            </control>
          </mc:Choice>
        </mc:AlternateContent>
        <mc:AlternateContent xmlns:mc="http://schemas.openxmlformats.org/markup-compatibility/2006">
          <mc:Choice Requires="x14">
            <control shapeId="5256" r:id="rId16" name="Option Button ④－１">
              <controlPr defaultSize="0" autoFill="0" autoLine="0" autoPict="0">
                <anchor moveWithCells="1">
                  <from>
                    <xdr:col>58</xdr:col>
                    <xdr:colOff>0</xdr:colOff>
                    <xdr:row>2</xdr:row>
                    <xdr:rowOff>47625</xdr:rowOff>
                  </from>
                  <to>
                    <xdr:col>60</xdr:col>
                    <xdr:colOff>95250</xdr:colOff>
                    <xdr:row>2</xdr:row>
                    <xdr:rowOff>295275</xdr:rowOff>
                  </to>
                </anchor>
              </controlPr>
            </control>
          </mc:Choice>
        </mc:AlternateContent>
        <mc:AlternateContent xmlns:mc="http://schemas.openxmlformats.org/markup-compatibility/2006">
          <mc:Choice Requires="x14">
            <control shapeId="5255" r:id="rId17" name="Group Box ④">
              <controlPr defaultSize="0" autoFill="0" autoPict="0">
                <anchor moveWithCells="1">
                  <from>
                    <xdr:col>57</xdr:col>
                    <xdr:colOff>19050</xdr:colOff>
                    <xdr:row>2</xdr:row>
                    <xdr:rowOff>9525</xdr:rowOff>
                  </from>
                  <to>
                    <xdr:col>67</xdr:col>
                    <xdr:colOff>9525</xdr:colOff>
                    <xdr:row>2</xdr:row>
                    <xdr:rowOff>333375</xdr:rowOff>
                  </to>
                </anchor>
              </controlPr>
            </control>
          </mc:Choice>
        </mc:AlternateContent>
        <mc:AlternateContent xmlns:mc="http://schemas.openxmlformats.org/markup-compatibility/2006">
          <mc:Choice Requires="x14">
            <control shapeId="5227" r:id="rId18" name="Option Button ③２">
              <controlPr defaultSize="0" autoFill="0" autoLine="0" autoPict="0">
                <anchor moveWithCells="1">
                  <from>
                    <xdr:col>25</xdr:col>
                    <xdr:colOff>85725</xdr:colOff>
                    <xdr:row>2</xdr:row>
                    <xdr:rowOff>95250</xdr:rowOff>
                  </from>
                  <to>
                    <xdr:col>26</xdr:col>
                    <xdr:colOff>38100</xdr:colOff>
                    <xdr:row>2</xdr:row>
                    <xdr:rowOff>247650</xdr:rowOff>
                  </to>
                </anchor>
              </controlPr>
            </control>
          </mc:Choice>
        </mc:AlternateContent>
        <mc:AlternateContent xmlns:mc="http://schemas.openxmlformats.org/markup-compatibility/2006">
          <mc:Choice Requires="x14">
            <control shapeId="5226" r:id="rId19" name="Option Button ③１">
              <controlPr defaultSize="0" autoFill="0" autoLine="0" autoPict="0">
                <anchor moveWithCells="1">
                  <from>
                    <xdr:col>20</xdr:col>
                    <xdr:colOff>47625</xdr:colOff>
                    <xdr:row>2</xdr:row>
                    <xdr:rowOff>104775</xdr:rowOff>
                  </from>
                  <to>
                    <xdr:col>21</xdr:col>
                    <xdr:colOff>85725</xdr:colOff>
                    <xdr:row>2</xdr:row>
                    <xdr:rowOff>257175</xdr:rowOff>
                  </to>
                </anchor>
              </controlPr>
            </control>
          </mc:Choice>
        </mc:AlternateContent>
        <mc:AlternateContent xmlns:mc="http://schemas.openxmlformats.org/markup-compatibility/2006">
          <mc:Choice Requires="x14">
            <control shapeId="5213" r:id="rId20" name="Group Box ③">
              <controlPr defaultSize="0" autoFill="0" autoPict="0">
                <anchor moveWithCells="1">
                  <from>
                    <xdr:col>19</xdr:col>
                    <xdr:colOff>28575</xdr:colOff>
                    <xdr:row>1</xdr:row>
                    <xdr:rowOff>371475</xdr:rowOff>
                  </from>
                  <to>
                    <xdr:col>26</xdr:col>
                    <xdr:colOff>57150</xdr:colOff>
                    <xdr:row>3</xdr:row>
                    <xdr:rowOff>0</xdr:rowOff>
                  </to>
                </anchor>
              </controlPr>
            </control>
          </mc:Choice>
        </mc:AlternateContent>
        <mc:AlternateContent xmlns:mc="http://schemas.openxmlformats.org/markup-compatibility/2006">
          <mc:Choice Requires="x14">
            <control shapeId="5291" r:id="rId21" name="Group Box ⑩">
              <controlPr defaultSize="0" autoFill="0" autoPict="0">
                <anchor moveWithCells="1">
                  <from>
                    <xdr:col>24</xdr:col>
                    <xdr:colOff>0</xdr:colOff>
                    <xdr:row>12</xdr:row>
                    <xdr:rowOff>0</xdr:rowOff>
                  </from>
                  <to>
                    <xdr:col>29</xdr:col>
                    <xdr:colOff>57150</xdr:colOff>
                    <xdr:row>14</xdr:row>
                    <xdr:rowOff>114300</xdr:rowOff>
                  </to>
                </anchor>
              </controlPr>
            </control>
          </mc:Choice>
        </mc:AlternateContent>
        <mc:AlternateContent xmlns:mc="http://schemas.openxmlformats.org/markup-compatibility/2006">
          <mc:Choice Requires="x14">
            <control shapeId="5295" r:id="rId22" name="Group Box 175">
              <controlPr defaultSize="0" autoFill="0" autoPict="0">
                <anchor moveWithCells="1">
                  <from>
                    <xdr:col>12</xdr:col>
                    <xdr:colOff>28575</xdr:colOff>
                    <xdr:row>16</xdr:row>
                    <xdr:rowOff>133350</xdr:rowOff>
                  </from>
                  <to>
                    <xdr:col>22</xdr:col>
                    <xdr:colOff>38100</xdr:colOff>
                    <xdr:row>20</xdr:row>
                    <xdr:rowOff>47625</xdr:rowOff>
                  </to>
                </anchor>
              </controlPr>
            </control>
          </mc:Choice>
        </mc:AlternateContent>
        <mc:AlternateContent xmlns:mc="http://schemas.openxmlformats.org/markup-compatibility/2006">
          <mc:Choice Requires="x14">
            <control shapeId="5297" r:id="rId23" name="Group Box 177">
              <controlPr defaultSize="0" autoFill="0" autoPict="0">
                <anchor moveWithCells="1">
                  <from>
                    <xdr:col>43</xdr:col>
                    <xdr:colOff>28575</xdr:colOff>
                    <xdr:row>16</xdr:row>
                    <xdr:rowOff>0</xdr:rowOff>
                  </from>
                  <to>
                    <xdr:col>58</xdr:col>
                    <xdr:colOff>95250</xdr:colOff>
                    <xdr:row>20</xdr:row>
                    <xdr:rowOff>57150</xdr:rowOff>
                  </to>
                </anchor>
              </controlPr>
            </control>
          </mc:Choice>
        </mc:AlternateContent>
        <mc:AlternateContent xmlns:mc="http://schemas.openxmlformats.org/markup-compatibility/2006">
          <mc:Choice Requires="x14">
            <control shapeId="5300" r:id="rId24" name="Group Box ⑩A１">
              <controlPr defaultSize="0" autoFill="0" autoPict="0">
                <anchor moveWithCells="1">
                  <from>
                    <xdr:col>55</xdr:col>
                    <xdr:colOff>0</xdr:colOff>
                    <xdr:row>16</xdr:row>
                    <xdr:rowOff>104775</xdr:rowOff>
                  </from>
                  <to>
                    <xdr:col>58</xdr:col>
                    <xdr:colOff>85725</xdr:colOff>
                    <xdr:row>20</xdr:row>
                    <xdr:rowOff>57150</xdr:rowOff>
                  </to>
                </anchor>
              </controlPr>
            </control>
          </mc:Choice>
        </mc:AlternateContent>
        <mc:AlternateContent xmlns:mc="http://schemas.openxmlformats.org/markup-compatibility/2006">
          <mc:Choice Requires="x14">
            <control shapeId="5301" r:id="rId25" name="Group Box 181">
              <controlPr defaultSize="0" autoFill="0" autoPict="0">
                <anchor moveWithCells="1">
                  <from>
                    <xdr:col>54</xdr:col>
                    <xdr:colOff>28575</xdr:colOff>
                    <xdr:row>16</xdr:row>
                    <xdr:rowOff>133350</xdr:rowOff>
                  </from>
                  <to>
                    <xdr:col>66</xdr:col>
                    <xdr:colOff>9525</xdr:colOff>
                    <xdr:row>20</xdr:row>
                    <xdr:rowOff>47625</xdr:rowOff>
                  </to>
                </anchor>
              </controlPr>
            </control>
          </mc:Choice>
        </mc:AlternateContent>
        <mc:AlternateContent xmlns:mc="http://schemas.openxmlformats.org/markup-compatibility/2006">
          <mc:Choice Requires="x14">
            <control shapeId="5302" r:id="rId26" name="Group Box ⑩A１">
              <controlPr defaultSize="0" autoFill="0" autoPict="0">
                <anchor moveWithCells="1">
                  <from>
                    <xdr:col>48</xdr:col>
                    <xdr:colOff>0</xdr:colOff>
                    <xdr:row>16</xdr:row>
                    <xdr:rowOff>104775</xdr:rowOff>
                  </from>
                  <to>
                    <xdr:col>52</xdr:col>
                    <xdr:colOff>0</xdr:colOff>
                    <xdr:row>20</xdr:row>
                    <xdr:rowOff>57150</xdr:rowOff>
                  </to>
                </anchor>
              </controlPr>
            </control>
          </mc:Choice>
        </mc:AlternateContent>
        <mc:AlternateContent xmlns:mc="http://schemas.openxmlformats.org/markup-compatibility/2006">
          <mc:Choice Requires="x14">
            <control shapeId="5303" r:id="rId27" name="Group Box 183">
              <controlPr defaultSize="0" autoFill="0" autoPict="0">
                <anchor moveWithCells="1">
                  <from>
                    <xdr:col>47</xdr:col>
                    <xdr:colOff>28575</xdr:colOff>
                    <xdr:row>16</xdr:row>
                    <xdr:rowOff>133350</xdr:rowOff>
                  </from>
                  <to>
                    <xdr:col>60</xdr:col>
                    <xdr:colOff>95250</xdr:colOff>
                    <xdr:row>20</xdr:row>
                    <xdr:rowOff>47625</xdr:rowOff>
                  </to>
                </anchor>
              </controlPr>
            </control>
          </mc:Choice>
        </mc:AlternateContent>
        <mc:AlternateContent xmlns:mc="http://schemas.openxmlformats.org/markup-compatibility/2006">
          <mc:Choice Requires="x14">
            <control shapeId="5304" r:id="rId28" name="Group Box ⑩A１">
              <controlPr defaultSize="0" autoFill="0" autoPict="0">
                <anchor moveWithCells="1">
                  <from>
                    <xdr:col>13</xdr:col>
                    <xdr:colOff>0</xdr:colOff>
                    <xdr:row>24</xdr:row>
                    <xdr:rowOff>104775</xdr:rowOff>
                  </from>
                  <to>
                    <xdr:col>16</xdr:col>
                    <xdr:colOff>76200</xdr:colOff>
                    <xdr:row>28</xdr:row>
                    <xdr:rowOff>57150</xdr:rowOff>
                  </to>
                </anchor>
              </controlPr>
            </control>
          </mc:Choice>
        </mc:AlternateContent>
        <mc:AlternateContent xmlns:mc="http://schemas.openxmlformats.org/markup-compatibility/2006">
          <mc:Choice Requires="x14">
            <control shapeId="5305" r:id="rId29" name="Group Box 185">
              <controlPr defaultSize="0" autoFill="0" autoPict="0">
                <anchor moveWithCells="1">
                  <from>
                    <xdr:col>12</xdr:col>
                    <xdr:colOff>28575</xdr:colOff>
                    <xdr:row>24</xdr:row>
                    <xdr:rowOff>133350</xdr:rowOff>
                  </from>
                  <to>
                    <xdr:col>22</xdr:col>
                    <xdr:colOff>38100</xdr:colOff>
                    <xdr:row>28</xdr:row>
                    <xdr:rowOff>47625</xdr:rowOff>
                  </to>
                </anchor>
              </controlPr>
            </control>
          </mc:Choice>
        </mc:AlternateContent>
        <mc:AlternateContent xmlns:mc="http://schemas.openxmlformats.org/markup-compatibility/2006">
          <mc:Choice Requires="x14">
            <control shapeId="5306" r:id="rId30" name="Group Box ⑩A２">
              <controlPr defaultSize="0" autoFill="0" autoPict="0">
                <anchor moveWithCells="1">
                  <from>
                    <xdr:col>46</xdr:col>
                    <xdr:colOff>47625</xdr:colOff>
                    <xdr:row>24</xdr:row>
                    <xdr:rowOff>123825</xdr:rowOff>
                  </from>
                  <to>
                    <xdr:col>49</xdr:col>
                    <xdr:colOff>57150</xdr:colOff>
                    <xdr:row>28</xdr:row>
                    <xdr:rowOff>85725</xdr:rowOff>
                  </to>
                </anchor>
              </controlPr>
            </control>
          </mc:Choice>
        </mc:AlternateContent>
        <mc:AlternateContent xmlns:mc="http://schemas.openxmlformats.org/markup-compatibility/2006">
          <mc:Choice Requires="x14">
            <control shapeId="5307" r:id="rId31" name="Group Box 187">
              <controlPr defaultSize="0" autoFill="0" autoPict="0">
                <anchor moveWithCells="1">
                  <from>
                    <xdr:col>48</xdr:col>
                    <xdr:colOff>0</xdr:colOff>
                    <xdr:row>24</xdr:row>
                    <xdr:rowOff>104775</xdr:rowOff>
                  </from>
                  <to>
                    <xdr:col>52</xdr:col>
                    <xdr:colOff>0</xdr:colOff>
                    <xdr:row>28</xdr:row>
                    <xdr:rowOff>57150</xdr:rowOff>
                  </to>
                </anchor>
              </controlPr>
            </control>
          </mc:Choice>
        </mc:AlternateContent>
        <mc:AlternateContent xmlns:mc="http://schemas.openxmlformats.org/markup-compatibility/2006">
          <mc:Choice Requires="x14">
            <control shapeId="5308" r:id="rId32" name="Group Box 188">
              <controlPr defaultSize="0" autoFill="0" autoPict="0">
                <anchor moveWithCells="1">
                  <from>
                    <xdr:col>47</xdr:col>
                    <xdr:colOff>28575</xdr:colOff>
                    <xdr:row>24</xdr:row>
                    <xdr:rowOff>133350</xdr:rowOff>
                  </from>
                  <to>
                    <xdr:col>60</xdr:col>
                    <xdr:colOff>95250</xdr:colOff>
                    <xdr:row>28</xdr:row>
                    <xdr:rowOff>47625</xdr:rowOff>
                  </to>
                </anchor>
              </controlPr>
            </control>
          </mc:Choice>
        </mc:AlternateContent>
        <mc:AlternateContent xmlns:mc="http://schemas.openxmlformats.org/markup-compatibility/2006">
          <mc:Choice Requires="x14">
            <control shapeId="5314" r:id="rId33" name="Group Box ⑩A２">
              <controlPr defaultSize="0" autoFill="0" autoPict="0">
                <anchor moveWithCells="1">
                  <from>
                    <xdr:col>2</xdr:col>
                    <xdr:colOff>47625</xdr:colOff>
                    <xdr:row>32</xdr:row>
                    <xdr:rowOff>123825</xdr:rowOff>
                  </from>
                  <to>
                    <xdr:col>6</xdr:col>
                    <xdr:colOff>47625</xdr:colOff>
                    <xdr:row>36</xdr:row>
                    <xdr:rowOff>85725</xdr:rowOff>
                  </to>
                </anchor>
              </controlPr>
            </control>
          </mc:Choice>
        </mc:AlternateContent>
        <mc:AlternateContent xmlns:mc="http://schemas.openxmlformats.org/markup-compatibility/2006">
          <mc:Choice Requires="x14">
            <control shapeId="5315" r:id="rId34" name="Group Box 195">
              <controlPr defaultSize="0" autoFill="0" autoPict="0">
                <anchor moveWithCells="1">
                  <from>
                    <xdr:col>4</xdr:col>
                    <xdr:colOff>0</xdr:colOff>
                    <xdr:row>32</xdr:row>
                    <xdr:rowOff>104775</xdr:rowOff>
                  </from>
                  <to>
                    <xdr:col>8</xdr:col>
                    <xdr:colOff>0</xdr:colOff>
                    <xdr:row>36</xdr:row>
                    <xdr:rowOff>57150</xdr:rowOff>
                  </to>
                </anchor>
              </controlPr>
            </control>
          </mc:Choice>
        </mc:AlternateContent>
        <mc:AlternateContent xmlns:mc="http://schemas.openxmlformats.org/markup-compatibility/2006">
          <mc:Choice Requires="x14">
            <control shapeId="5316" r:id="rId35" name="Group Box 196">
              <controlPr defaultSize="0" autoFill="0" autoPict="0">
                <anchor moveWithCells="1">
                  <from>
                    <xdr:col>42</xdr:col>
                    <xdr:colOff>47625</xdr:colOff>
                    <xdr:row>32</xdr:row>
                    <xdr:rowOff>123825</xdr:rowOff>
                  </from>
                  <to>
                    <xdr:col>46</xdr:col>
                    <xdr:colOff>47625</xdr:colOff>
                    <xdr:row>36</xdr:row>
                    <xdr:rowOff>85725</xdr:rowOff>
                  </to>
                </anchor>
              </controlPr>
            </control>
          </mc:Choice>
        </mc:AlternateContent>
        <mc:AlternateContent xmlns:mc="http://schemas.openxmlformats.org/markup-compatibility/2006">
          <mc:Choice Requires="x14">
            <control shapeId="5317" r:id="rId36" name="Group Box 197">
              <controlPr defaultSize="0" autoFill="0" autoPict="0">
                <anchor moveWithCells="1">
                  <from>
                    <xdr:col>45</xdr:col>
                    <xdr:colOff>85725</xdr:colOff>
                    <xdr:row>32</xdr:row>
                    <xdr:rowOff>104775</xdr:rowOff>
                  </from>
                  <to>
                    <xdr:col>48</xdr:col>
                    <xdr:colOff>0</xdr:colOff>
                    <xdr:row>36</xdr:row>
                    <xdr:rowOff>57150</xdr:rowOff>
                  </to>
                </anchor>
              </controlPr>
            </control>
          </mc:Choice>
        </mc:AlternateContent>
        <mc:AlternateContent xmlns:mc="http://schemas.openxmlformats.org/markup-compatibility/2006">
          <mc:Choice Requires="x14">
            <control shapeId="5325" r:id="rId37" name="Group Box ⑦２">
              <controlPr defaultSize="0" autoFill="0" autoPict="0">
                <anchor moveWithCells="1">
                  <from>
                    <xdr:col>32</xdr:col>
                    <xdr:colOff>76200</xdr:colOff>
                    <xdr:row>8</xdr:row>
                    <xdr:rowOff>28575</xdr:rowOff>
                  </from>
                  <to>
                    <xdr:col>65</xdr:col>
                    <xdr:colOff>57150</xdr:colOff>
                    <xdr:row>9</xdr:row>
                    <xdr:rowOff>28575</xdr:rowOff>
                  </to>
                </anchor>
              </controlPr>
            </control>
          </mc:Choice>
        </mc:AlternateContent>
        <mc:AlternateContent xmlns:mc="http://schemas.openxmlformats.org/markup-compatibility/2006">
          <mc:Choice Requires="x14">
            <control shapeId="5326" r:id="rId38" name="Option Button ⑦４－２">
              <controlPr defaultSize="0" autoFill="0" autoLine="0" autoPict="0">
                <anchor moveWithCells="1">
                  <from>
                    <xdr:col>57</xdr:col>
                    <xdr:colOff>57150</xdr:colOff>
                    <xdr:row>11</xdr:row>
                    <xdr:rowOff>47625</xdr:rowOff>
                  </from>
                  <to>
                    <xdr:col>59</xdr:col>
                    <xdr:colOff>76200</xdr:colOff>
                    <xdr:row>11</xdr:row>
                    <xdr:rowOff>200025</xdr:rowOff>
                  </to>
                </anchor>
              </controlPr>
            </control>
          </mc:Choice>
        </mc:AlternateContent>
        <mc:AlternateContent xmlns:mc="http://schemas.openxmlformats.org/markup-compatibility/2006">
          <mc:Choice Requires="x14">
            <control shapeId="5327" r:id="rId39" name="Option Button ⑦４－１">
              <controlPr defaultSize="0" autoFill="0" autoLine="0" autoPict="0">
                <anchor moveWithCells="1">
                  <from>
                    <xdr:col>35</xdr:col>
                    <xdr:colOff>9525</xdr:colOff>
                    <xdr:row>11</xdr:row>
                    <xdr:rowOff>38100</xdr:rowOff>
                  </from>
                  <to>
                    <xdr:col>38</xdr:col>
                    <xdr:colOff>19050</xdr:colOff>
                    <xdr:row>11</xdr:row>
                    <xdr:rowOff>219075</xdr:rowOff>
                  </to>
                </anchor>
              </controlPr>
            </control>
          </mc:Choice>
        </mc:AlternateContent>
        <mc:AlternateContent xmlns:mc="http://schemas.openxmlformats.org/markup-compatibility/2006">
          <mc:Choice Requires="x14">
            <control shapeId="5328" r:id="rId40" name="Group Box ⑦４">
              <controlPr defaultSize="0" autoFill="0" autoPict="0">
                <anchor moveWithCells="1">
                  <from>
                    <xdr:col>33</xdr:col>
                    <xdr:colOff>76200</xdr:colOff>
                    <xdr:row>11</xdr:row>
                    <xdr:rowOff>19050</xdr:rowOff>
                  </from>
                  <to>
                    <xdr:col>66</xdr:col>
                    <xdr:colOff>47625</xdr:colOff>
                    <xdr:row>12</xdr:row>
                    <xdr:rowOff>9525</xdr:rowOff>
                  </to>
                </anchor>
              </controlPr>
            </control>
          </mc:Choice>
        </mc:AlternateContent>
        <mc:AlternateContent xmlns:mc="http://schemas.openxmlformats.org/markup-compatibility/2006">
          <mc:Choice Requires="x14">
            <control shapeId="3" r:id="rId41" name="Option Button ⑦３－２">
              <controlPr defaultSize="0" autoFill="0" autoLine="0" autoPict="0">
                <anchor moveWithCells="1" sizeWithCells="1">
                  <from>
                    <xdr:col>35</xdr:col>
                    <xdr:colOff>9525</xdr:colOff>
                    <xdr:row>9</xdr:row>
                    <xdr:rowOff>123825</xdr:rowOff>
                  </from>
                  <to>
                    <xdr:col>37</xdr:col>
                    <xdr:colOff>95250</xdr:colOff>
                    <xdr:row>11</xdr:row>
                    <xdr:rowOff>19050</xdr:rowOff>
                  </to>
                </anchor>
              </controlPr>
            </control>
          </mc:Choice>
        </mc:AlternateContent>
        <mc:AlternateContent xmlns:mc="http://schemas.openxmlformats.org/markup-compatibility/2006">
          <mc:Choice Requires="x14">
            <control shapeId="5" r:id="rId42" name="Option Button ⑦３－１">
              <controlPr defaultSize="0" autoFill="0" autoLine="0" autoPict="0">
                <anchor moveWithCells="1" sizeWithCells="1">
                  <from>
                    <xdr:col>57</xdr:col>
                    <xdr:colOff>76200</xdr:colOff>
                    <xdr:row>9</xdr:row>
                    <xdr:rowOff>114300</xdr:rowOff>
                  </from>
                  <to>
                    <xdr:col>60</xdr:col>
                    <xdr:colOff>9525</xdr:colOff>
                    <xdr:row>11</xdr:row>
                    <xdr:rowOff>38100</xdr:rowOff>
                  </to>
                </anchor>
              </controlPr>
            </control>
          </mc:Choice>
        </mc:AlternateContent>
        <mc:AlternateContent xmlns:mc="http://schemas.openxmlformats.org/markup-compatibility/2006">
          <mc:Choice Requires="x14">
            <control shapeId="8" r:id="rId43" name="Group Box ⑦３">
              <controlPr defaultSize="0" autoFill="0" autoPict="0">
                <anchor moveWithCells="1" sizeWithCells="1">
                  <from>
                    <xdr:col>33</xdr:col>
                    <xdr:colOff>95250</xdr:colOff>
                    <xdr:row>9</xdr:row>
                    <xdr:rowOff>38100</xdr:rowOff>
                  </from>
                  <to>
                    <xdr:col>67</xdr:col>
                    <xdr:colOff>28575</xdr:colOff>
                    <xdr:row>11</xdr:row>
                    <xdr:rowOff>9525</xdr:rowOff>
                  </to>
                </anchor>
              </controlPr>
            </control>
          </mc:Choice>
        </mc:AlternateContent>
        <mc:AlternateContent xmlns:mc="http://schemas.openxmlformats.org/markup-compatibility/2006">
          <mc:Choice Requires="x14">
            <control shapeId="5347" r:id="rId44" name="Option Button ⑥２">
              <controlPr defaultSize="0" autoFill="0" autoLine="0" autoPict="0">
                <anchor moveWithCells="1">
                  <from>
                    <xdr:col>58</xdr:col>
                    <xdr:colOff>28575</xdr:colOff>
                    <xdr:row>3</xdr:row>
                    <xdr:rowOff>28575</xdr:rowOff>
                  </from>
                  <to>
                    <xdr:col>60</xdr:col>
                    <xdr:colOff>28575</xdr:colOff>
                    <xdr:row>4</xdr:row>
                    <xdr:rowOff>104775</xdr:rowOff>
                  </to>
                </anchor>
              </controlPr>
            </control>
          </mc:Choice>
        </mc:AlternateContent>
        <mc:AlternateContent xmlns:mc="http://schemas.openxmlformats.org/markup-compatibility/2006">
          <mc:Choice Requires="x14">
            <control shapeId="5214" r:id="rId45" name="Group Box ⑤">
              <controlPr defaultSize="0" autoFill="0" autoPict="0">
                <anchor moveWithCells="1">
                  <from>
                    <xdr:col>0</xdr:col>
                    <xdr:colOff>0</xdr:colOff>
                    <xdr:row>3</xdr:row>
                    <xdr:rowOff>19050</xdr:rowOff>
                  </from>
                  <to>
                    <xdr:col>12</xdr:col>
                    <xdr:colOff>104775</xdr:colOff>
                    <xdr:row>5</xdr:row>
                    <xdr:rowOff>28575</xdr:rowOff>
                  </to>
                </anchor>
              </controlPr>
            </control>
          </mc:Choice>
        </mc:AlternateContent>
      </controls>
    </mc:Choice>
  </mc:AlternateContent>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489321C4B6E0E4A9DF08D0B4D173D72" ma:contentTypeVersion="15" ma:contentTypeDescription="新しいドキュメントを作成します。" ma:contentTypeScope="" ma:versionID="70f065a5163ae612ab82ff4ca70d6221">
  <xsd:schema xmlns:xsd="http://www.w3.org/2001/XMLSchema" xmlns:xs="http://www.w3.org/2001/XMLSchema" xmlns:p="http://schemas.microsoft.com/office/2006/metadata/properties" xmlns:ns2="1f24adb7-dcc3-4d41-bc1f-b332c9e61577" xmlns:ns3="263dbbe5-076b-4606-a03b-9598f5f2f35a" targetNamespace="http://schemas.microsoft.com/office/2006/metadata/properties" ma:root="true" ma:fieldsID="f7f0ec942e780ffe26bed44689cef84c" ns2:_="" ns3:_="">
    <xsd:import namespace="1f24adb7-dcc3-4d41-bc1f-b332c9e61577"/>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24adb7-dcc3-4d41-bc1f-b332c9e61577"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97dcf39-9382-42a0-9f79-051fd11de66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24adb7-dcc3-4d41-bc1f-b332c9e61577">
      <Terms xmlns="http://schemas.microsoft.com/office/infopath/2007/PartnerControls"/>
    </lcf76f155ced4ddcb4097134ff3c332f>
    <TaxCatchAll xmlns="263dbbe5-076b-4606-a03b-9598f5f2f35a" xsi:nil="true"/>
    <Owner xmlns="1f24adb7-dcc3-4d41-bc1f-b332c9e61577">
      <UserInfo>
        <DisplayName/>
        <AccountId xsi:nil="true"/>
        <AccountType/>
      </UserInfo>
    </Owner>
  </documentManagement>
</p:properties>
</file>

<file path=customXml/itemProps1.xml><?xml version="1.0" encoding="utf-8"?>
<ds:datastoreItem xmlns:ds="http://schemas.openxmlformats.org/officeDocument/2006/customXml" ds:itemID="{A92CC29B-DA8B-4885-B323-F4F84D271255}">
  <ds:schemaRefs>
    <ds:schemaRef ds:uri="http://schemas.microsoft.com/sharepoint/v3/contenttype/forms"/>
  </ds:schemaRefs>
</ds:datastoreItem>
</file>

<file path=customXml/itemProps2.xml><?xml version="1.0" encoding="utf-8"?>
<ds:datastoreItem xmlns:ds="http://schemas.openxmlformats.org/officeDocument/2006/customXml" ds:itemID="{2FC1BE2D-31DC-4182-92A3-BF7E010E99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24adb7-dcc3-4d41-bc1f-b332c9e61577"/>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231A7D-8A90-425C-9E77-29344947BA0F}">
  <ds:schemaRefs>
    <ds:schemaRef ds:uri="http://purl.org/dc/dcmitype/"/>
    <ds:schemaRef ds:uri="1f24adb7-dcc3-4d41-bc1f-b332c9e61577"/>
    <ds:schemaRef ds:uri="http://www.w3.org/XML/1998/namespace"/>
    <ds:schemaRef ds:uri="http://purl.org/dc/elements/1.1/"/>
    <ds:schemaRef ds:uri="http://schemas.openxmlformats.org/package/2006/metadata/core-properties"/>
    <ds:schemaRef ds:uri="http://schemas.microsoft.com/office/2006/documentManagement/types"/>
    <ds:schemaRef ds:uri="http://schemas.microsoft.com/office/2006/metadata/properties"/>
    <ds:schemaRef ds:uri="263dbbe5-076b-4606-a03b-9598f5f2f35a"/>
    <ds:schemaRef ds:uri="http://purl.org/dc/term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様式第３号（別添様式３）</vt:lpstr>
      <vt:lpstr>'様式第３号（別添様式３）'!Print_Area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0x010100C489321C4B6E0E4A9DF08D0B4D173D72</vt:lpwstr>
  </property>
</Properties>
</file>