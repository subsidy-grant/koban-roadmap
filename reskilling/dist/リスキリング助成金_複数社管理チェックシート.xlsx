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い方" sheetId="1" state="visible" r:id="rId1"/>
    <sheet xmlns:r="http://schemas.openxmlformats.org/officeDocument/2006/relationships" name="期限一覧" sheetId="2" state="visible" r:id="rId2"/>
    <sheet xmlns:r="http://schemas.openxmlformats.org/officeDocument/2006/relationships" name="逆算スケジュール" sheetId="3" state="visible" r:id="rId3"/>
    <sheet xmlns:r="http://schemas.openxmlformats.org/officeDocument/2006/relationships" name="チェックリスト" sheetId="4" state="visible" r:id="rId4"/>
    <sheet xmlns:r="http://schemas.openxmlformats.org/officeDocument/2006/relationships" name="やってはいけないこと" sheetId="5" state="visible" r:id="rId5"/>
    <sheet xmlns:r="http://schemas.openxmlformats.org/officeDocument/2006/relationships" name="事前スクリーニング" sheetId="6" state="visible" r:id="rId6"/>
    <sheet xmlns:r="http://schemas.openxmlformats.org/officeDocument/2006/relationships" name="税務の注意" sheetId="7" state="visible" r:id="rId7"/>
    <sheet xmlns:r="http://schemas.openxmlformats.org/officeDocument/2006/relationships" name="要確認リスト" sheetId="8" state="visible" r:id="rId8"/>
  </sheets>
  <definedNames>
    <definedName name="_xlnm.Print_Area" localSheetId="0">'使い方'!$B$1:$C$42</definedName>
    <definedName name="_xlnm.Print_Titles" localSheetId="1">'期限一覧'!$1:$2</definedName>
    <definedName name="_xlnm.Print_Titles" localSheetId="3">'チェックリスト'!$1:$3</definedName>
    <definedName name="_xlnm.Print_Titles" localSheetId="7">'要確認リスト'!$1:$2</definedName>
  </definedNames>
  <calcPr calcId="124519" fullCalcOnLoad="1"/>
</workbook>
</file>

<file path=xl/styles.xml><?xml version="1.0" encoding="utf-8"?>
<styleSheet xmlns="http://schemas.openxmlformats.org/spreadsheetml/2006/main">
  <numFmts count="3">
    <numFmt numFmtId="164" formatCode="yyyy/mm/dd"/>
    <numFmt numFmtId="165" formatCode="yyyy/mm/dd（aaa）"/>
    <numFmt numFmtId="166" formatCode="0&quot;日&quot;;-0&quot;日超過&quot;"/>
  </numFmts>
  <fonts count="9">
    <font>
      <name val="Calibri"/>
      <family val="2"/>
      <color theme="1"/>
      <sz val="11"/>
      <scheme val="minor"/>
    </font>
    <font>
      <name val="BIZ UDPゴシック"/>
      <b val="1"/>
      <color rgb="001F3864"/>
      <sz val="14"/>
    </font>
    <font>
      <name val="BIZ UDPゴシック"/>
      <b val="1"/>
      <sz val="10"/>
    </font>
    <font>
      <name val="BIZ UDPゴシック"/>
      <sz val="10"/>
    </font>
    <font>
      <name val="BIZ UDPゴシック"/>
      <b val="1"/>
      <color rgb="00C00000"/>
      <sz val="10"/>
    </font>
    <font>
      <name val="BIZ UDPゴシック"/>
      <b val="1"/>
      <color rgb="00FFFFFF"/>
      <sz val="10"/>
    </font>
    <font>
      <name val="BIZ UDPゴシック"/>
      <color rgb="000000FF"/>
      <sz val="10"/>
    </font>
    <font>
      <name val="BIZ UDPゴシック"/>
      <b val="1"/>
      <color rgb="001F3864"/>
      <sz val="10"/>
    </font>
    <font>
      <name val="BIZ UDPゴシック"/>
      <color rgb="00595959"/>
      <sz val="9"/>
    </font>
  </fonts>
  <fills count="8">
    <fill>
      <patternFill/>
    </fill>
    <fill>
      <patternFill patternType="gray125"/>
    </fill>
    <fill>
      <patternFill patternType="solid">
        <fgColor rgb="001F3864"/>
      </patternFill>
    </fill>
    <fill>
      <patternFill patternType="solid">
        <fgColor rgb="00F2F2F2"/>
      </patternFill>
    </fill>
    <fill>
      <patternFill patternType="solid">
        <fgColor rgb="00DEEAF6"/>
      </patternFill>
    </fill>
    <fill>
      <patternFill patternType="solid">
        <fgColor rgb="00FCE4D6"/>
      </patternFill>
    </fill>
    <fill>
      <patternFill patternType="solid">
        <fgColor rgb="00FFF2CC"/>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165" fontId="6" fillId="3" borderId="1" applyAlignment="1" pivotButton="0" quotePrefix="0" xfId="0">
      <alignment horizontal="left" vertical="center"/>
    </xf>
    <xf numFmtId="165" fontId="7" fillId="4" borderId="1" applyAlignment="1" pivotButton="0" quotePrefix="0" xfId="0">
      <alignment horizontal="left" vertical="center"/>
    </xf>
    <xf numFmtId="166" fontId="3" fillId="0" borderId="1" applyAlignment="1" pivotButton="0" quotePrefix="0" xfId="0">
      <alignment horizontal="left" vertical="center"/>
    </xf>
    <xf numFmtId="165" fontId="3" fillId="0" borderId="1" applyAlignment="1" pivotButton="0" quotePrefix="0" xfId="0">
      <alignment horizontal="left" vertical="center"/>
    </xf>
    <xf numFmtId="165" fontId="4" fillId="5" borderId="1" applyAlignment="1" pivotButton="0" quotePrefix="0" xfId="0">
      <alignment horizontal="left" vertical="center"/>
    </xf>
    <xf numFmtId="0" fontId="3" fillId="0" borderId="1" applyAlignment="1" pivotButton="0" quotePrefix="0" xfId="0">
      <alignment horizontal="left" vertical="center"/>
    </xf>
    <xf numFmtId="0" fontId="6" fillId="6" borderId="1" applyAlignment="1" pivotButton="0" quotePrefix="0" xfId="0">
      <alignment horizontal="left" vertical="center"/>
    </xf>
    <xf numFmtId="0" fontId="6" fillId="6" borderId="1" applyAlignment="1" pivotButton="0" quotePrefix="0" xfId="0">
      <alignment horizontal="center" vertical="center"/>
    </xf>
    <xf numFmtId="165" fontId="6" fillId="6" borderId="1" applyAlignment="1" pivotButton="0" quotePrefix="0" xfId="0">
      <alignment horizontal="left" vertical="center"/>
    </xf>
    <xf numFmtId="0" fontId="8" fillId="0" borderId="0" pivotButton="0" quotePrefix="0" xfId="0"/>
    <xf numFmtId="0" fontId="7" fillId="0" borderId="1" applyAlignment="1" pivotButton="0" quotePrefix="0" xfId="0">
      <alignment horizontal="center" vertical="center"/>
    </xf>
    <xf numFmtId="0" fontId="3" fillId="0" borderId="1" applyAlignment="1" pivotButton="0" quotePrefix="0" xfId="0">
      <alignment vertical="top" wrapText="1"/>
    </xf>
    <xf numFmtId="165" fontId="3" fillId="0" borderId="1" applyAlignment="1" pivotButton="0" quotePrefix="0" xfId="0">
      <alignment horizontal="center" vertical="center"/>
    </xf>
    <xf numFmtId="0" fontId="2" fillId="5" borderId="1" applyAlignment="1" pivotButton="0" quotePrefix="0" xfId="0">
      <alignment vertical="top" wrapText="1"/>
    </xf>
    <xf numFmtId="165" fontId="4" fillId="5" borderId="1" applyAlignment="1" pivotButton="0" quotePrefix="0" xfId="0">
      <alignment horizontal="center" vertical="center"/>
    </xf>
    <xf numFmtId="0" fontId="5" fillId="2" borderId="1" applyAlignment="1" pivotButton="0" quotePrefix="0" xfId="0">
      <alignment horizontal="center" vertical="center" wrapText="1"/>
    </xf>
    <xf numFmtId="0" fontId="2" fillId="4" borderId="1" pivotButton="0" quotePrefix="0" xfId="0"/>
    <xf numFmtId="0" fontId="2" fillId="4" borderId="1" applyAlignment="1" pivotButton="0" quotePrefix="0" xfId="0">
      <alignment horizontal="center" vertical="center"/>
    </xf>
    <xf numFmtId="0" fontId="7" fillId="7" borderId="1" applyAlignment="1" pivotButton="0" quotePrefix="0" xfId="0">
      <alignment vertical="top" wrapText="1"/>
    </xf>
    <xf numFmtId="0" fontId="0" fillId="7" borderId="1" pivotButton="0" quotePrefix="0" xfId="0"/>
    <xf numFmtId="0" fontId="2" fillId="0" borderId="0" pivotButton="0" quotePrefix="0" xfId="0"/>
    <xf numFmtId="0" fontId="8" fillId="0" borderId="0" applyAlignment="1" pivotButton="0" quotePrefix="0" xfId="0">
      <alignment vertical="top" wrapText="1"/>
    </xf>
    <xf numFmtId="0" fontId="8" fillId="0" borderId="1" applyAlignment="1" pivotButton="0" quotePrefix="0" xfId="0">
      <alignment vertical="top" wrapText="1"/>
    </xf>
    <xf numFmtId="0" fontId="4" fillId="5" borderId="1" applyAlignment="1" pivotButton="0" quotePrefix="0" xfId="0">
      <alignment horizontal="center" vertical="center"/>
    </xf>
    <xf numFmtId="164" fontId="6" fillId="6" borderId="1" applyAlignment="1" pivotButton="0" quotePrefix="0" xfId="0">
      <alignment vertical="top" wrapText="1"/>
    </xf>
    <xf numFmtId="0" fontId="6" fillId="6" borderId="1" applyAlignment="1" pivotButton="0" quotePrefix="0" xfId="0">
      <alignment vertical="top" wrapText="1"/>
    </xf>
    <xf numFmtId="0" fontId="4" fillId="4" borderId="1" applyAlignment="1" pivotButton="0" quotePrefix="0" xfId="0">
      <alignment horizontal="center" vertical="center"/>
    </xf>
    <xf numFmtId="0" fontId="7" fillId="7" borderId="1" applyAlignment="1" pivotButton="0" quotePrefix="0" xfId="0">
      <alignment horizontal="center" vertical="center"/>
    </xf>
  </cellXfs>
  <cellStyles count="1">
    <cellStyle name="Normal" xfId="0" builtinId="0" hidden="0"/>
  </cellStyles>
  <dxfs count="5">
    <dxf>
      <font>
        <name val="BIZ UDPゴシック"/>
        <b val="1"/>
        <color rgb="00FFFFFF"/>
        <sz val="10"/>
      </font>
      <fill>
        <patternFill patternType="solid">
          <fgColor rgb="00C00000"/>
        </patternFill>
      </fill>
    </dxf>
    <dxf>
      <font>
        <name val="BIZ UDPゴシック"/>
        <b val="1"/>
        <color rgb="009C0006"/>
        <sz val="10"/>
      </font>
      <fill>
        <patternFill patternType="solid">
          <fgColor rgb="00FFC7CE"/>
        </patternFill>
      </fill>
    </dxf>
    <dxf>
      <font>
        <name val="BIZ UDPゴシック"/>
        <color rgb="00006100"/>
        <sz val="10"/>
      </font>
    </dxf>
    <dxf>
      <font>
        <name val="BIZ UDPゴシック"/>
        <b val="1"/>
        <color rgb="00006100"/>
        <sz val="10"/>
      </font>
      <fill>
        <patternFill patternType="solid">
          <fgColor rgb="00C6EFCE"/>
        </patternFill>
      </fill>
    </dxf>
    <dxf>
      <font>
        <name val="BIZ UDPゴシック"/>
        <color rgb="00006100"/>
        <sz val="1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40"/>
  <sheetViews>
    <sheetView showGridLines="0" workbookViewId="0">
      <selection activeCell="A1" sqref="A1"/>
    </sheetView>
  </sheetViews>
  <sheetFormatPr baseColWidth="8" defaultRowHeight="15"/>
  <cols>
    <col width="3" customWidth="1" min="1" max="1"/>
    <col width="26" customWidth="1" min="2" max="2"/>
    <col width="78" customWidth="1" min="3" max="3"/>
  </cols>
  <sheetData>
    <row r="2">
      <c r="B2" s="1" t="inlineStr">
        <is>
          <t>人材開発支援助成金／事業展開等リスキリング支援コース</t>
        </is>
      </c>
    </row>
    <row r="3">
      <c r="B3" s="1" t="inlineStr">
        <is>
          <t>【定額制サービスによる訓練】　複数社管理チェックシート</t>
        </is>
      </c>
    </row>
    <row r="5">
      <c r="B5" s="2" t="inlineStr">
        <is>
          <t>このファイルの目的</t>
        </is>
      </c>
      <c r="C5" s="3" t="inlineStr">
        <is>
          <t>複数の会社のリスキリング助成金（定額制サービス）の手続きを、担当者1人が期限を落とさずに回すためのシート。</t>
        </is>
      </c>
    </row>
    <row r="6">
      <c r="B6" s="2" t="inlineStr">
        <is>
          <t>シートの構成</t>
        </is>
      </c>
      <c r="C6" s="3" t="inlineStr">
        <is>
          <t>①使い方（このシート）／②期限一覧（会社ごとの期限を自動計算）／③逆算スケジュール（いつ何をするか）／④チェックリスト（会社ごとに49項目）／⑤やってはいけないこと</t>
        </is>
      </c>
    </row>
    <row r="8">
      <c r="B8" s="2" t="inlineStr">
        <is>
          <t>入力するところ</t>
        </is>
      </c>
      <c r="C8" s="3" t="inlineStr">
        <is>
          <t>黄色い背景・青い文字のセルだけです。白いセルは計算式が入っているので触らないでください。</t>
        </is>
      </c>
    </row>
    <row r="9">
      <c r="B9" s="2" t="inlineStr">
        <is>
          <t>最初にやること</t>
        </is>
      </c>
      <c r="C9" s="3" t="inlineStr">
        <is>
          <t>「期限一覧」シートの3行目（記入例）を見てから、4行目以降にご自分の会社を書いてください。記入例の行は消しても構いません。</t>
        </is>
      </c>
    </row>
    <row r="11">
      <c r="B11" s="4" t="inlineStr">
        <is>
          <t>期限の計算ルール</t>
        </is>
      </c>
    </row>
    <row r="12">
      <c r="B12" s="2" t="inlineStr">
        <is>
          <t>計画届の提出期限</t>
        </is>
      </c>
      <c r="C12" s="3" t="inlineStr">
        <is>
          <t>契約開始日の1か月前の同じ日（例：4月1日契約開始→3月1日まで）。通常訓練の「6か月前〜1か月前」とは違います。同じ日が無い月は、その月の末日で計算しています（末日の扱いは一次情報で未確認）。</t>
        </is>
      </c>
    </row>
    <row r="13">
      <c r="B13" s="2" t="inlineStr">
        <is>
          <t>訓練の実施期間</t>
        </is>
      </c>
      <c r="C13" s="3" t="inlineStr">
        <is>
          <t>最長1年。契約終了日が空欄のときは「契約開始日から1年間」として計算します。1年を超える契約は1年ごとに申請が必要です（このシートは1年目のみ計算します）。</t>
        </is>
      </c>
    </row>
    <row r="14">
      <c r="B14" s="2" t="inlineStr">
        <is>
          <t>支給申請の期限</t>
        </is>
      </c>
      <c r="C14" s="3" t="inlineStr">
        <is>
          <t>訓練終了日の翌日から2か月以内＝訓練終了日の2か月後の同じ日（例：3月31日終了→5月31日まで）。</t>
        </is>
      </c>
    </row>
    <row r="15">
      <c r="B15" s="2" t="inlineStr">
        <is>
          <t>郵送するとき</t>
        </is>
      </c>
      <c r="C15" s="3" t="inlineStr">
        <is>
          <t>到着日が提出日です。期限当日の消印では間に合いません。</t>
        </is>
      </c>
    </row>
    <row r="16">
      <c r="B16" s="2" t="inlineStr">
        <is>
          <t>書類の保管</t>
        </is>
      </c>
      <c r="C16" s="3" t="inlineStr">
        <is>
          <t>支給決定後5年間。会計検査院の検査対象になる場合があります。</t>
        </is>
      </c>
    </row>
    <row r="18">
      <c r="B18" s="4" t="inlineStr">
        <is>
          <t>特に落としやすい3点</t>
        </is>
      </c>
    </row>
    <row r="19">
      <c r="B19" s="2" t="inlineStr">
        <is>
          <t>受講予定者は後から追加できない</t>
        </is>
      </c>
      <c r="C19" s="3" t="inlineStr">
        <is>
          <t>計画届（様式第3-2号）に書いていない人が受講しても助成対象外です。受講させる予定の全員を最初に届け出てください。</t>
        </is>
      </c>
    </row>
    <row r="20">
      <c r="B20" s="2" t="inlineStr">
        <is>
          <t>1人あたり10時間以上</t>
        </is>
      </c>
      <c r="C20" s="3" t="inlineStr">
        <is>
          <t>修了した訓練の「標準学習時間」の合計が10時間以上の人だけが対象です。標準学習時間は訓練機関が定めた時間数で、実際の動画視聴時間ではありません。趣味・教養の講座は数えません。</t>
        </is>
      </c>
    </row>
    <row r="21">
      <c r="B21" s="2" t="inlineStr">
        <is>
          <t>業務命令として労働時間内に</t>
        </is>
      </c>
      <c r="C21" s="3" t="inlineStr">
        <is>
          <t>従業員が自分から時間外に受講した時間は10時間に数えられません。社長・管理職から業務命令として指示し、就業時間内に行わせてください。受講中は通常の賃金が必要です。</t>
        </is>
      </c>
    </row>
    <row r="23">
      <c r="B23" s="4" t="inlineStr">
        <is>
          <t>⚠ 使う前に必ず読んでください（3士業の点検で出た重大な指摘）</t>
        </is>
      </c>
    </row>
    <row r="24">
      <c r="B24" s="5" t="inlineStr">
        <is>
          <t>① この資料より新しい版がある可能性が高い</t>
        </is>
      </c>
      <c r="C24" s="3" t="inlineStr">
        <is>
          <t>検索では「令和8年8月3日改正版」の存在が確認されました（原文は未読）。2026年8月3日以降に計画届を出す案件には、この資料の前提が当てはまらないおそれがあります。訓練機関との契約・申込みが2026年8月2日以前なら旧基準という経過措置があるとされますが、日付の分かる契約書等での証明が要ります。【必ず一次確認】</t>
        </is>
      </c>
    </row>
    <row r="25">
      <c r="B25" s="5" t="inlineStr">
        <is>
          <t>② 経費助成には上限額があります</t>
        </is>
      </c>
      <c r="C25" s="3" t="inlineStr">
        <is>
          <t>この資料には上限額が書かれていません。「契約額×75%」で経営者に提示すると期待値を誤らせます。定額制サービスには1人1月あたりの上限があるとされますが、金額と、それが助成額の上限なのか対象経費の上限なのか（＝75%を掛ける順序）は確認できていません。結果が倍違います。【必ず一次確認】</t>
        </is>
      </c>
    </row>
    <row r="26">
      <c r="B26" s="5" t="inlineStr">
        <is>
          <t>③ 支給申請の回数にも上限があります</t>
        </is>
      </c>
      <c r="C26" s="3" t="inlineStr">
        <is>
          <t>1労働者1年度あたり3回まで、eラーニングは1回までとする情報があります。定額制サービスにこの回数制限が及ぶかは情報が割れています。複数回の申請を前提に動くと、2回目以降が丸ごと不支給になり得ます。【必ず一次確認】</t>
        </is>
      </c>
    </row>
    <row r="27">
      <c r="B27" s="5" t="inlineStr">
        <is>
          <t>④ 汎用的なAI・DX・GX研修は対象外になった可能性</t>
        </is>
      </c>
      <c r="C27" s="3" t="inlineStr">
        <is>
          <t>訓練名に「AI」「DX」「GX」が付いているだけでは不可で、その人の職務に直接必要であることが求められるようになったとされます。定額制は「受け放題」のため汎用講座が主力になりがちです。DX・GX型ではなく事業展開型で書き切るほうが安全です。【必ず一次確認】</t>
        </is>
      </c>
    </row>
    <row r="28">
      <c r="B28" s="5" t="inlineStr">
        <is>
          <t>⑤ お金は後払いです</t>
        </is>
      </c>
      <c r="C28" s="3" t="inlineStr">
        <is>
          <t>訓練費は全額を先に会社が払います。助成金が入るのは支給決定の後です。「申請から2か月で入る」ではありません。資金繰り表に入金予定として載せるときは注意してください。</t>
        </is>
      </c>
    </row>
    <row r="29">
      <c r="B29" s="5" t="inlineStr">
        <is>
          <t>⑥ 欠格事由がこの資料に書かれていません</t>
        </is>
      </c>
      <c r="C29" s="3" t="inlineStr">
        <is>
          <t>「支給申請日の前日から1年前までの間に労働関係法令違反があった事業主は不支給」が実務で一番効きます。労基署の是正勧告を受けた会社が混じっていると、計画届が通っても支給申請で落ちます。「事前スクリーニング」シートで各社を確認してください。</t>
        </is>
      </c>
    </row>
    <row r="30">
      <c r="B30" s="5" t="inlineStr">
        <is>
          <t>⑦ 認定経営革新等支援機関の確認が要るかもしれません</t>
        </is>
      </c>
      <c r="C30" s="3" t="inlineStr">
        <is>
          <t>事業展開等実施計画について、認定経営革新等支援機関（中小企業診断士・税理士・金融機関等）の確認が必要になったとする情報があります。事実なら工程が1本増え、「契約初日の1か月前」の期限設計が破綻します。【必ず一次確認】</t>
        </is>
      </c>
    </row>
    <row r="31">
      <c r="B31" s="5" t="inlineStr">
        <is>
          <t>⑧ 契約は各社がそれぞれ結んでください</t>
        </is>
      </c>
      <c r="C31" s="3" t="inlineStr">
        <is>
          <t>親会社が一括契約して子会社に請求しない形にすると、(a)子会社が自社の支払を証明できず助成対象外になるおそれ (b)親会社で寄附金と認定され損金にならない、の両方が起きます。100%グループでも解消しません。契約してからでは戻せません。</t>
        </is>
      </c>
    </row>
    <row r="32">
      <c r="B32" s="5" t="inlineStr">
        <is>
          <t>⑨ 助成金には税金がかかります</t>
        </is>
      </c>
      <c r="C32" s="3" t="inlineStr">
        <is>
          <t>この助成金は経費助成なので圧縮記帳（課税の繰り延べ）が使えません。受給額はそのまま課税所得を押し上げます。「税務の注意」シートを見てください。</t>
        </is>
      </c>
    </row>
    <row r="34">
      <c r="B34" s="4" t="inlineStr">
        <is>
          <t>この資料の出所と注意</t>
        </is>
      </c>
    </row>
    <row r="35">
      <c r="B35" s="2" t="inlineStr">
        <is>
          <t>出所</t>
        </is>
      </c>
      <c r="C35" s="3" t="inlineStr">
        <is>
          <t>紙資料「計画書提出から支給申請まで 段取りガイド&amp;チェックリスト」（自称根拠＝厚生労働省 詳細パンフレット・支給要項 R8.5.14版）を 2026年9月15日 に読み取って作成。</t>
        </is>
      </c>
    </row>
    <row r="36">
      <c r="B36" s="2" t="inlineStr">
        <is>
          <t>点検の状況</t>
        </is>
      </c>
      <c r="C36" s="3" t="inlineStr">
        <is>
          <t>社会保険労務士・税理士・中小企業診断士の3つの観点でAIによる点検を行いましたが、厚生労働省・国税庁のサイトへの接続がこの環境で遮断されており、条文・パンフレットの原文は1件も読めていません。上の①〜⑨は検索結果の要約に基づく指摘です。</t>
        </is>
      </c>
    </row>
    <row r="37">
      <c r="B37" s="2" t="inlineStr">
        <is>
          <t>未確認であること</t>
        </is>
      </c>
      <c r="C37" s="3" t="inlineStr">
        <is>
          <t>したがって、この資料の数値・要件は厚生労働省の一次情報と突き合わせが済んでいません。提出前に必ず管轄の都道府県労働局またはハローワークで最新の支給要領・パンフレットを確認してください。</t>
        </is>
      </c>
    </row>
    <row r="38">
      <c r="B38" s="2" t="inlineStr">
        <is>
          <t>有資格者の確認について</t>
        </is>
      </c>
      <c r="C38" s="3" t="inlineStr">
        <is>
          <t>実在の社会保険労務士・税理士・中小企業診断士による確認は受けていません。「社労士監修」等の表示はしていません。最終確認と提出は社会保険労務士にご相談ください。</t>
        </is>
      </c>
    </row>
    <row r="39">
      <c r="B39" s="2" t="inlineStr">
        <is>
          <t>金額について</t>
        </is>
      </c>
      <c r="C39" s="3" t="inlineStr">
        <is>
          <t>経費助成率（中小75%／大企業60%）は資料の記載です。上限額・加算・対象外講座の除外は反映していないため、実際の支給額とは異なります。</t>
        </is>
      </c>
    </row>
    <row r="40">
      <c r="B40" s="2" t="inlineStr">
        <is>
          <t>書体について</t>
        </is>
      </c>
      <c r="C40" s="3" t="inlineStr">
        <is>
          <t>BIZ UDPゴシックで作っています。お使いのパソコンに無い場合は別の書体で表示されますが、中身は変わりません。</t>
        </is>
      </c>
    </row>
  </sheetData>
  <pageMargins left="0.75" right="0.75" top="1" bottom="1" header="0.5" footer="0.5"/>
  <pageSetup orientation="portrait" fitToWidth="1"/>
</worksheet>
</file>

<file path=xl/worksheets/sheet2.xml><?xml version="1.0" encoding="utf-8"?>
<worksheet xmlns="http://schemas.openxmlformats.org/spreadsheetml/2006/main">
  <sheetPr>
    <outlinePr summaryBelow="1" summaryRight="1"/>
    <pageSetUpPr fitToPage="1"/>
  </sheetPr>
  <dimension ref="A1:O19"/>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20" customWidth="1" min="3" max="3"/>
    <col width="10" customWidth="1" min="4" max="4"/>
    <col width="9" customWidth="1" min="5" max="5"/>
    <col width="12" customWidth="1" min="6" max="6"/>
    <col width="12" customWidth="1" min="7" max="7"/>
    <col width="13" customWidth="1" min="8" max="8"/>
    <col width="11" customWidth="1" min="9" max="9"/>
    <col width="12" customWidth="1" min="10" max="10"/>
    <col width="13" customWidth="1" min="11" max="11"/>
    <col width="11" customWidth="1" min="12" max="12"/>
    <col width="26" customWidth="1" min="13" max="13"/>
    <col width="8" customWidth="1" min="14" max="14"/>
    <col width="9" customWidth="1" min="15" max="15"/>
  </cols>
  <sheetData>
    <row r="1" ht="22" customHeight="1">
      <c r="A1" s="1" t="inlineStr">
        <is>
          <t>期限一覧　　黄色いセルだけ入力してください（白いセルは自動計算）</t>
        </is>
      </c>
    </row>
    <row r="2" ht="34" customHeight="1">
      <c r="A2" s="6" t="inlineStr">
        <is>
          <t>会社名</t>
        </is>
      </c>
      <c r="B2" s="6" t="inlineStr">
        <is>
          <t>管轄労働局</t>
        </is>
      </c>
      <c r="C2" s="6" t="inlineStr">
        <is>
          <t>定額制サービス名</t>
        </is>
      </c>
      <c r="D2" s="6" t="inlineStr">
        <is>
          <t>企業区分</t>
        </is>
      </c>
      <c r="E2" s="6" t="inlineStr">
        <is>
          <t>受講予定者数</t>
        </is>
      </c>
      <c r="F2" s="6" t="inlineStr">
        <is>
          <t>契約開始日</t>
        </is>
      </c>
      <c r="G2" s="6" t="inlineStr">
        <is>
          <t>契約終了日
(空欄=1年)</t>
        </is>
      </c>
      <c r="H2" s="6" t="inlineStr">
        <is>
          <t>★計画届の
提出期限</t>
        </is>
      </c>
      <c r="I2" s="6" t="inlineStr">
        <is>
          <t>計画届まで
あと何日</t>
        </is>
      </c>
      <c r="J2" s="6" t="inlineStr">
        <is>
          <t>訓練終了日</t>
        </is>
      </c>
      <c r="K2" s="6" t="inlineStr">
        <is>
          <t>★支給申請の
期限</t>
        </is>
      </c>
      <c r="L2" s="6" t="inlineStr">
        <is>
          <t>申請まで
あと何日</t>
        </is>
      </c>
      <c r="M2" s="6" t="inlineStr">
        <is>
          <t>いま何をする時期か</t>
        </is>
      </c>
      <c r="N2" s="6" t="inlineStr">
        <is>
          <t>計画届
提出済</t>
        </is>
      </c>
      <c r="O2" s="6" t="inlineStr">
        <is>
          <t>支給申請
提出済</t>
        </is>
      </c>
    </row>
    <row r="3" ht="20" customHeight="1">
      <c r="A3" s="7" t="inlineStr">
        <is>
          <t>株式会社○○（記入例）</t>
        </is>
      </c>
      <c r="B3" s="7" t="inlineStr">
        <is>
          <t>東京労働局</t>
        </is>
      </c>
      <c r="C3" s="7" t="inlineStr">
        <is>
          <t>○○ラーニング 年間プラン</t>
        </is>
      </c>
      <c r="D3" s="8" t="inlineStr">
        <is>
          <t>中小企業</t>
        </is>
      </c>
      <c r="E3" s="8" t="n">
        <v>12</v>
      </c>
      <c r="F3" s="9" t="inlineStr">
        <is>
          <t>2027/04/01</t>
        </is>
      </c>
      <c r="G3" s="9" t="n"/>
      <c r="H3" s="10">
        <f>IF($F3="","",EDATE($F3,-1))</f>
        <v/>
      </c>
      <c r="I3" s="11">
        <f>IF($H3="","",$H3-TODAY())</f>
        <v/>
      </c>
      <c r="J3" s="12">
        <f>IF($F3="","",IF($G3="",EDATE($F3,12)-1,MIN($G3,EDATE($F3,12)-1)))</f>
        <v/>
      </c>
      <c r="K3" s="13">
        <f>IF($J3="","",EDATE($J3,2))</f>
        <v/>
      </c>
      <c r="L3" s="11">
        <f>IF($K3="","",$K3-TODAY())</f>
        <v/>
      </c>
      <c r="M3" s="14">
        <f>IF($F3="","",IF($O3="済","完了",IF(AND($N3&lt;&gt;"済",$I3&lt;0),"計画届の期限を過ぎています",IF($N3&lt;&gt;"済","計画届の準備（あと"&amp;$I3&amp;"日）",IF(TODAY()&lt;$F3,"訓練開始待ち",IF(TODAY()&lt;=$J3,"訓練実施中（受講進捗を月1回確認）",IF($L3&lt;0,"支給申請の期限を過ぎています","支給申請の準備（あと"&amp;$L3&amp;"日）")))))))</f>
        <v/>
      </c>
      <c r="N3" s="8" t="n"/>
      <c r="O3" s="8" t="n"/>
    </row>
    <row r="4" ht="20" customHeight="1">
      <c r="A4" s="15" t="n"/>
      <c r="B4" s="15" t="n"/>
      <c r="C4" s="15" t="n"/>
      <c r="D4" s="16" t="n"/>
      <c r="E4" s="16" t="n"/>
      <c r="F4" s="17" t="n"/>
      <c r="G4" s="17" t="n"/>
      <c r="H4" s="10">
        <f>IF($F4="","",EDATE($F4,-1))</f>
        <v/>
      </c>
      <c r="I4" s="11">
        <f>IF($H4="","",$H4-TODAY())</f>
        <v/>
      </c>
      <c r="J4" s="12">
        <f>IF($F4="","",IF($G4="",EDATE($F4,12)-1,MIN($G4,EDATE($F4,12)-1)))</f>
        <v/>
      </c>
      <c r="K4" s="13">
        <f>IF($J4="","",EDATE($J4,2))</f>
        <v/>
      </c>
      <c r="L4" s="11">
        <f>IF($K4="","",$K4-TODAY())</f>
        <v/>
      </c>
      <c r="M4" s="14">
        <f>IF($F4="","",IF($O4="済","完了",IF(AND($N4&lt;&gt;"済",$I4&lt;0),"計画届の期限を過ぎています",IF($N4&lt;&gt;"済","計画届の準備（あと"&amp;$I4&amp;"日）",IF(TODAY()&lt;$F4,"訓練開始待ち",IF(TODAY()&lt;=$J4,"訓練実施中（受講進捗を月1回確認）",IF($L4&lt;0,"支給申請の期限を過ぎています","支給申請の準備（あと"&amp;$L4&amp;"日）")))))))</f>
        <v/>
      </c>
      <c r="N4" s="16" t="n"/>
      <c r="O4" s="16" t="n"/>
    </row>
    <row r="5" ht="20" customHeight="1">
      <c r="A5" s="15" t="n"/>
      <c r="B5" s="15" t="n"/>
      <c r="C5" s="15" t="n"/>
      <c r="D5" s="16" t="n"/>
      <c r="E5" s="16" t="n"/>
      <c r="F5" s="17" t="n"/>
      <c r="G5" s="17" t="n"/>
      <c r="H5" s="10">
        <f>IF($F5="","",EDATE($F5,-1))</f>
        <v/>
      </c>
      <c r="I5" s="11">
        <f>IF($H5="","",$H5-TODAY())</f>
        <v/>
      </c>
      <c r="J5" s="12">
        <f>IF($F5="","",IF($G5="",EDATE($F5,12)-1,MIN($G5,EDATE($F5,12)-1)))</f>
        <v/>
      </c>
      <c r="K5" s="13">
        <f>IF($J5="","",EDATE($J5,2))</f>
        <v/>
      </c>
      <c r="L5" s="11">
        <f>IF($K5="","",$K5-TODAY())</f>
        <v/>
      </c>
      <c r="M5" s="14">
        <f>IF($F5="","",IF($O5="済","完了",IF(AND($N5&lt;&gt;"済",$I5&lt;0),"計画届の期限を過ぎています",IF($N5&lt;&gt;"済","計画届の準備（あと"&amp;$I5&amp;"日）",IF(TODAY()&lt;$F5,"訓練開始待ち",IF(TODAY()&lt;=$J5,"訓練実施中（受講進捗を月1回確認）",IF($L5&lt;0,"支給申請の期限を過ぎています","支給申請の準備（あと"&amp;$L5&amp;"日）")))))))</f>
        <v/>
      </c>
      <c r="N5" s="16" t="n"/>
      <c r="O5" s="16" t="n"/>
    </row>
    <row r="6" ht="20" customHeight="1">
      <c r="A6" s="15" t="n"/>
      <c r="B6" s="15" t="n"/>
      <c r="C6" s="15" t="n"/>
      <c r="D6" s="16" t="n"/>
      <c r="E6" s="16" t="n"/>
      <c r="F6" s="17" t="n"/>
      <c r="G6" s="17" t="n"/>
      <c r="H6" s="10">
        <f>IF($F6="","",EDATE($F6,-1))</f>
        <v/>
      </c>
      <c r="I6" s="11">
        <f>IF($H6="","",$H6-TODAY())</f>
        <v/>
      </c>
      <c r="J6" s="12">
        <f>IF($F6="","",IF($G6="",EDATE($F6,12)-1,MIN($G6,EDATE($F6,12)-1)))</f>
        <v/>
      </c>
      <c r="K6" s="13">
        <f>IF($J6="","",EDATE($J6,2))</f>
        <v/>
      </c>
      <c r="L6" s="11">
        <f>IF($K6="","",$K6-TODAY())</f>
        <v/>
      </c>
      <c r="M6" s="14">
        <f>IF($F6="","",IF($O6="済","完了",IF(AND($N6&lt;&gt;"済",$I6&lt;0),"計画届の期限を過ぎています",IF($N6&lt;&gt;"済","計画届の準備（あと"&amp;$I6&amp;"日）",IF(TODAY()&lt;$F6,"訓練開始待ち",IF(TODAY()&lt;=$J6,"訓練実施中（受講進捗を月1回確認）",IF($L6&lt;0,"支給申請の期限を過ぎています","支給申請の準備（あと"&amp;$L6&amp;"日）")))))))</f>
        <v/>
      </c>
      <c r="N6" s="16" t="n"/>
      <c r="O6" s="16" t="n"/>
    </row>
    <row r="7" ht="20" customHeight="1">
      <c r="A7" s="15" t="n"/>
      <c r="B7" s="15" t="n"/>
      <c r="C7" s="15" t="n"/>
      <c r="D7" s="16" t="n"/>
      <c r="E7" s="16" t="n"/>
      <c r="F7" s="17" t="n"/>
      <c r="G7" s="17" t="n"/>
      <c r="H7" s="10">
        <f>IF($F7="","",EDATE($F7,-1))</f>
        <v/>
      </c>
      <c r="I7" s="11">
        <f>IF($H7="","",$H7-TODAY())</f>
        <v/>
      </c>
      <c r="J7" s="12">
        <f>IF($F7="","",IF($G7="",EDATE($F7,12)-1,MIN($G7,EDATE($F7,12)-1)))</f>
        <v/>
      </c>
      <c r="K7" s="13">
        <f>IF($J7="","",EDATE($J7,2))</f>
        <v/>
      </c>
      <c r="L7" s="11">
        <f>IF($K7="","",$K7-TODAY())</f>
        <v/>
      </c>
      <c r="M7" s="14">
        <f>IF($F7="","",IF($O7="済","完了",IF(AND($N7&lt;&gt;"済",$I7&lt;0),"計画届の期限を過ぎています",IF($N7&lt;&gt;"済","計画届の準備（あと"&amp;$I7&amp;"日）",IF(TODAY()&lt;$F7,"訓練開始待ち",IF(TODAY()&lt;=$J7,"訓練実施中（受講進捗を月1回確認）",IF($L7&lt;0,"支給申請の期限を過ぎています","支給申請の準備（あと"&amp;$L7&amp;"日）")))))))</f>
        <v/>
      </c>
      <c r="N7" s="16" t="n"/>
      <c r="O7" s="16" t="n"/>
    </row>
    <row r="8" ht="20" customHeight="1">
      <c r="A8" s="15" t="n"/>
      <c r="B8" s="15" t="n"/>
      <c r="C8" s="15" t="n"/>
      <c r="D8" s="16" t="n"/>
      <c r="E8" s="16" t="n"/>
      <c r="F8" s="17" t="n"/>
      <c r="G8" s="17" t="n"/>
      <c r="H8" s="10">
        <f>IF($F8="","",EDATE($F8,-1))</f>
        <v/>
      </c>
      <c r="I8" s="11">
        <f>IF($H8="","",$H8-TODAY())</f>
        <v/>
      </c>
      <c r="J8" s="12">
        <f>IF($F8="","",IF($G8="",EDATE($F8,12)-1,MIN($G8,EDATE($F8,12)-1)))</f>
        <v/>
      </c>
      <c r="K8" s="13">
        <f>IF($J8="","",EDATE($J8,2))</f>
        <v/>
      </c>
      <c r="L8" s="11">
        <f>IF($K8="","",$K8-TODAY())</f>
        <v/>
      </c>
      <c r="M8" s="14">
        <f>IF($F8="","",IF($O8="済","完了",IF(AND($N8&lt;&gt;"済",$I8&lt;0),"計画届の期限を過ぎています",IF($N8&lt;&gt;"済","計画届の準備（あと"&amp;$I8&amp;"日）",IF(TODAY()&lt;$F8,"訓練開始待ち",IF(TODAY()&lt;=$J8,"訓練実施中（受講進捗を月1回確認）",IF($L8&lt;0,"支給申請の期限を過ぎています","支給申請の準備（あと"&amp;$L8&amp;"日）")))))))</f>
        <v/>
      </c>
      <c r="N8" s="16" t="n"/>
      <c r="O8" s="16" t="n"/>
    </row>
    <row r="9" ht="20" customHeight="1">
      <c r="A9" s="15" t="n"/>
      <c r="B9" s="15" t="n"/>
      <c r="C9" s="15" t="n"/>
      <c r="D9" s="16" t="n"/>
      <c r="E9" s="16" t="n"/>
      <c r="F9" s="17" t="n"/>
      <c r="G9" s="17" t="n"/>
      <c r="H9" s="10">
        <f>IF($F9="","",EDATE($F9,-1))</f>
        <v/>
      </c>
      <c r="I9" s="11">
        <f>IF($H9="","",$H9-TODAY())</f>
        <v/>
      </c>
      <c r="J9" s="12">
        <f>IF($F9="","",IF($G9="",EDATE($F9,12)-1,MIN($G9,EDATE($F9,12)-1)))</f>
        <v/>
      </c>
      <c r="K9" s="13">
        <f>IF($J9="","",EDATE($J9,2))</f>
        <v/>
      </c>
      <c r="L9" s="11">
        <f>IF($K9="","",$K9-TODAY())</f>
        <v/>
      </c>
      <c r="M9" s="14">
        <f>IF($F9="","",IF($O9="済","完了",IF(AND($N9&lt;&gt;"済",$I9&lt;0),"計画届の期限を過ぎています",IF($N9&lt;&gt;"済","計画届の準備（あと"&amp;$I9&amp;"日）",IF(TODAY()&lt;$F9,"訓練開始待ち",IF(TODAY()&lt;=$J9,"訓練実施中（受講進捗を月1回確認）",IF($L9&lt;0,"支給申請の期限を過ぎています","支給申請の準備（あと"&amp;$L9&amp;"日）")))))))</f>
        <v/>
      </c>
      <c r="N9" s="16" t="n"/>
      <c r="O9" s="16" t="n"/>
    </row>
    <row r="10" ht="20" customHeight="1">
      <c r="A10" s="15" t="n"/>
      <c r="B10" s="15" t="n"/>
      <c r="C10" s="15" t="n"/>
      <c r="D10" s="16" t="n"/>
      <c r="E10" s="16" t="n"/>
      <c r="F10" s="17" t="n"/>
      <c r="G10" s="17" t="n"/>
      <c r="H10" s="10">
        <f>IF($F10="","",EDATE($F10,-1))</f>
        <v/>
      </c>
      <c r="I10" s="11">
        <f>IF($H10="","",$H10-TODAY())</f>
        <v/>
      </c>
      <c r="J10" s="12">
        <f>IF($F10="","",IF($G10="",EDATE($F10,12)-1,MIN($G10,EDATE($F10,12)-1)))</f>
        <v/>
      </c>
      <c r="K10" s="13">
        <f>IF($J10="","",EDATE($J10,2))</f>
        <v/>
      </c>
      <c r="L10" s="11">
        <f>IF($K10="","",$K10-TODAY())</f>
        <v/>
      </c>
      <c r="M10" s="14">
        <f>IF($F10="","",IF($O10="済","完了",IF(AND($N10&lt;&gt;"済",$I10&lt;0),"計画届の期限を過ぎています",IF($N10&lt;&gt;"済","計画届の準備（あと"&amp;$I10&amp;"日）",IF(TODAY()&lt;$F10,"訓練開始待ち",IF(TODAY()&lt;=$J10,"訓練実施中（受講進捗を月1回確認）",IF($L10&lt;0,"支給申請の期限を過ぎています","支給申請の準備（あと"&amp;$L10&amp;"日）")))))))</f>
        <v/>
      </c>
      <c r="N10" s="16" t="n"/>
      <c r="O10" s="16" t="n"/>
    </row>
    <row r="11" ht="20" customHeight="1">
      <c r="A11" s="15" t="n"/>
      <c r="B11" s="15" t="n"/>
      <c r="C11" s="15" t="n"/>
      <c r="D11" s="16" t="n"/>
      <c r="E11" s="16" t="n"/>
      <c r="F11" s="17" t="n"/>
      <c r="G11" s="17" t="n"/>
      <c r="H11" s="10">
        <f>IF($F11="","",EDATE($F11,-1))</f>
        <v/>
      </c>
      <c r="I11" s="11">
        <f>IF($H11="","",$H11-TODAY())</f>
        <v/>
      </c>
      <c r="J11" s="12">
        <f>IF($F11="","",IF($G11="",EDATE($F11,12)-1,MIN($G11,EDATE($F11,12)-1)))</f>
        <v/>
      </c>
      <c r="K11" s="13">
        <f>IF($J11="","",EDATE($J11,2))</f>
        <v/>
      </c>
      <c r="L11" s="11">
        <f>IF($K11="","",$K11-TODAY())</f>
        <v/>
      </c>
      <c r="M11" s="14">
        <f>IF($F11="","",IF($O11="済","完了",IF(AND($N11&lt;&gt;"済",$I11&lt;0),"計画届の期限を過ぎています",IF($N11&lt;&gt;"済","計画届の準備（あと"&amp;$I11&amp;"日）",IF(TODAY()&lt;$F11,"訓練開始待ち",IF(TODAY()&lt;=$J11,"訓練実施中（受講進捗を月1回確認）",IF($L11&lt;0,"支給申請の期限を過ぎています","支給申請の準備（あと"&amp;$L11&amp;"日）")))))))</f>
        <v/>
      </c>
      <c r="N11" s="16" t="n"/>
      <c r="O11" s="16" t="n"/>
    </row>
    <row r="12" ht="20" customHeight="1">
      <c r="A12" s="15" t="n"/>
      <c r="B12" s="15" t="n"/>
      <c r="C12" s="15" t="n"/>
      <c r="D12" s="16" t="n"/>
      <c r="E12" s="16" t="n"/>
      <c r="F12" s="17" t="n"/>
      <c r="G12" s="17" t="n"/>
      <c r="H12" s="10">
        <f>IF($F12="","",EDATE($F12,-1))</f>
        <v/>
      </c>
      <c r="I12" s="11">
        <f>IF($H12="","",$H12-TODAY())</f>
        <v/>
      </c>
      <c r="J12" s="12">
        <f>IF($F12="","",IF($G12="",EDATE($F12,12)-1,MIN($G12,EDATE($F12,12)-1)))</f>
        <v/>
      </c>
      <c r="K12" s="13">
        <f>IF($J12="","",EDATE($J12,2))</f>
        <v/>
      </c>
      <c r="L12" s="11">
        <f>IF($K12="","",$K12-TODAY())</f>
        <v/>
      </c>
      <c r="M12" s="14">
        <f>IF($F12="","",IF($O12="済","完了",IF(AND($N12&lt;&gt;"済",$I12&lt;0),"計画届の期限を過ぎています",IF($N12&lt;&gt;"済","計画届の準備（あと"&amp;$I12&amp;"日）",IF(TODAY()&lt;$F12,"訓練開始待ち",IF(TODAY()&lt;=$J12,"訓練実施中（受講進捗を月1回確認）",IF($L12&lt;0,"支給申請の期限を過ぎています","支給申請の準備（あと"&amp;$L12&amp;"日）")))))))</f>
        <v/>
      </c>
      <c r="N12" s="16" t="n"/>
      <c r="O12" s="16" t="n"/>
    </row>
    <row r="13" ht="20" customHeight="1">
      <c r="A13" s="15" t="n"/>
      <c r="B13" s="15" t="n"/>
      <c r="C13" s="15" t="n"/>
      <c r="D13" s="16" t="n"/>
      <c r="E13" s="16" t="n"/>
      <c r="F13" s="17" t="n"/>
      <c r="G13" s="17" t="n"/>
      <c r="H13" s="10">
        <f>IF($F13="","",EDATE($F13,-1))</f>
        <v/>
      </c>
      <c r="I13" s="11">
        <f>IF($H13="","",$H13-TODAY())</f>
        <v/>
      </c>
      <c r="J13" s="12">
        <f>IF($F13="","",IF($G13="",EDATE($F13,12)-1,MIN($G13,EDATE($F13,12)-1)))</f>
        <v/>
      </c>
      <c r="K13" s="13">
        <f>IF($J13="","",EDATE($J13,2))</f>
        <v/>
      </c>
      <c r="L13" s="11">
        <f>IF($K13="","",$K13-TODAY())</f>
        <v/>
      </c>
      <c r="M13" s="14">
        <f>IF($F13="","",IF($O13="済","完了",IF(AND($N13&lt;&gt;"済",$I13&lt;0),"計画届の期限を過ぎています",IF($N13&lt;&gt;"済","計画届の準備（あと"&amp;$I13&amp;"日）",IF(TODAY()&lt;$F13,"訓練開始待ち",IF(TODAY()&lt;=$J13,"訓練実施中（受講進捗を月1回確認）",IF($L13&lt;0,"支給申請の期限を過ぎています","支給申請の準備（あと"&amp;$L13&amp;"日）")))))))</f>
        <v/>
      </c>
      <c r="N13" s="16" t="n"/>
      <c r="O13" s="16" t="n"/>
    </row>
    <row r="14" ht="20" customHeight="1">
      <c r="A14" s="15" t="n"/>
      <c r="B14" s="15" t="n"/>
      <c r="C14" s="15" t="n"/>
      <c r="D14" s="16" t="n"/>
      <c r="E14" s="16" t="n"/>
      <c r="F14" s="17" t="n"/>
      <c r="G14" s="17" t="n"/>
      <c r="H14" s="10">
        <f>IF($F14="","",EDATE($F14,-1))</f>
        <v/>
      </c>
      <c r="I14" s="11">
        <f>IF($H14="","",$H14-TODAY())</f>
        <v/>
      </c>
      <c r="J14" s="12">
        <f>IF($F14="","",IF($G14="",EDATE($F14,12)-1,MIN($G14,EDATE($F14,12)-1)))</f>
        <v/>
      </c>
      <c r="K14" s="13">
        <f>IF($J14="","",EDATE($J14,2))</f>
        <v/>
      </c>
      <c r="L14" s="11">
        <f>IF($K14="","",$K14-TODAY())</f>
        <v/>
      </c>
      <c r="M14" s="14">
        <f>IF($F14="","",IF($O14="済","完了",IF(AND($N14&lt;&gt;"済",$I14&lt;0),"計画届の期限を過ぎています",IF($N14&lt;&gt;"済","計画届の準備（あと"&amp;$I14&amp;"日）",IF(TODAY()&lt;$F14,"訓練開始待ち",IF(TODAY()&lt;=$J14,"訓練実施中（受講進捗を月1回確認）",IF($L14&lt;0,"支給申請の期限を過ぎています","支給申請の準備（あと"&amp;$L14&amp;"日）")))))))</f>
        <v/>
      </c>
      <c r="N14" s="16" t="n"/>
      <c r="O14" s="16" t="n"/>
    </row>
    <row r="15" ht="20" customHeight="1">
      <c r="A15" s="15" t="n"/>
      <c r="B15" s="15" t="n"/>
      <c r="C15" s="15" t="n"/>
      <c r="D15" s="16" t="n"/>
      <c r="E15" s="16" t="n"/>
      <c r="F15" s="17" t="n"/>
      <c r="G15" s="17" t="n"/>
      <c r="H15" s="10">
        <f>IF($F15="","",EDATE($F15,-1))</f>
        <v/>
      </c>
      <c r="I15" s="11">
        <f>IF($H15="","",$H15-TODAY())</f>
        <v/>
      </c>
      <c r="J15" s="12">
        <f>IF($F15="","",IF($G15="",EDATE($F15,12)-1,MIN($G15,EDATE($F15,12)-1)))</f>
        <v/>
      </c>
      <c r="K15" s="13">
        <f>IF($J15="","",EDATE($J15,2))</f>
        <v/>
      </c>
      <c r="L15" s="11">
        <f>IF($K15="","",$K15-TODAY())</f>
        <v/>
      </c>
      <c r="M15" s="14">
        <f>IF($F15="","",IF($O15="済","完了",IF(AND($N15&lt;&gt;"済",$I15&lt;0),"計画届の期限を過ぎています",IF($N15&lt;&gt;"済","計画届の準備（あと"&amp;$I15&amp;"日）",IF(TODAY()&lt;$F15,"訓練開始待ち",IF(TODAY()&lt;=$J15,"訓練実施中（受講進捗を月1回確認）",IF($L15&lt;0,"支給申請の期限を過ぎています","支給申請の準備（あと"&amp;$L15&amp;"日）")))))))</f>
        <v/>
      </c>
      <c r="N15" s="16" t="n"/>
      <c r="O15" s="16" t="n"/>
    </row>
    <row r="17">
      <c r="A17" s="4" t="inlineStr">
        <is>
          <t>※ 黄色いセルだけ入力してください。★の2つが、過ぎると申請できなくなる厳守の期限です。</t>
        </is>
      </c>
    </row>
    <row r="18">
      <c r="A18" s="18" t="inlineStr">
        <is>
          <t>※ 契約期間が1年を超える場合、このシートは1年目だけを計算します。2年目以降は行を分けて、その年の開始日を「契約開始日」に入れてください。</t>
        </is>
      </c>
    </row>
    <row r="19">
      <c r="A19" s="18" t="inlineStr">
        <is>
          <t>※ 「あと何日」は、このファイルを開いた日を基準に計算し直されます。</t>
        </is>
      </c>
    </row>
  </sheetData>
  <conditionalFormatting sqref="I3:I15">
    <cfRule type="cellIs" priority="1" operator="lessThan" dxfId="0">
      <formula>0</formula>
    </cfRule>
    <cfRule type="cellIs" priority="2" operator="between" dxfId="1">
      <formula>0</formula>
      <formula>30</formula>
    </cfRule>
    <cfRule type="cellIs" priority="3" operator="greaterThan" dxfId="2">
      <formula>30</formula>
    </cfRule>
  </conditionalFormatting>
  <conditionalFormatting sqref="L3:L15">
    <cfRule type="cellIs" priority="4" operator="lessThan" dxfId="0">
      <formula>0</formula>
    </cfRule>
    <cfRule type="cellIs" priority="5" operator="between" dxfId="1">
      <formula>0</formula>
      <formula>30</formula>
    </cfRule>
    <cfRule type="cellIs" priority="6" operator="greaterThan" dxfId="2">
      <formula>30</formula>
    </cfRule>
  </conditionalFormatting>
  <dataValidations count="2">
    <dataValidation sqref="D3:D15" showDropDown="0" showInputMessage="0" showErrorMessage="0" allowBlank="1" type="list">
      <formula1>"中小企業,大企業"</formula1>
    </dataValidation>
    <dataValidation sqref="N3:O15" showDropDown="0" showInputMessage="0" showErrorMessage="0" allowBlank="1" type="list">
      <formula1>"済,"</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N17"/>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5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22" customHeight="1">
      <c r="A1" s="1" t="inlineStr">
        <is>
          <t>逆算スケジュール　　「期限一覧」に入れた会社ごとに、いつ何をするかを自動で出します</t>
        </is>
      </c>
    </row>
    <row r="2" ht="32" customHeight="1">
      <c r="A2" s="6" t="inlineStr">
        <is>
          <t>ステップ</t>
        </is>
      </c>
      <c r="B2" s="6" t="inlineStr">
        <is>
          <t>やること</t>
        </is>
      </c>
      <c r="C2" s="6">
        <f>IF(期限一覧!A3="","（未入力）",期限一覧!A3)</f>
        <v/>
      </c>
      <c r="D2" s="6">
        <f>IF(期限一覧!A4="","（未入力）",期限一覧!A4)</f>
        <v/>
      </c>
      <c r="E2" s="6">
        <f>IF(期限一覧!A5="","（未入力）",期限一覧!A5)</f>
        <v/>
      </c>
      <c r="F2" s="6">
        <f>IF(期限一覧!A6="","（未入力）",期限一覧!A6)</f>
        <v/>
      </c>
      <c r="G2" s="6">
        <f>IF(期限一覧!A7="","（未入力）",期限一覧!A7)</f>
        <v/>
      </c>
      <c r="H2" s="6">
        <f>IF(期限一覧!A8="","（未入力）",期限一覧!A8)</f>
        <v/>
      </c>
      <c r="I2" s="6">
        <f>IF(期限一覧!A9="","（未入力）",期限一覧!A9)</f>
        <v/>
      </c>
      <c r="J2" s="6">
        <f>IF(期限一覧!A10="","（未入力）",期限一覧!A10)</f>
        <v/>
      </c>
      <c r="K2" s="6">
        <f>IF(期限一覧!A11="","（未入力）",期限一覧!A11)</f>
        <v/>
      </c>
      <c r="L2" s="6">
        <f>IF(期限一覧!A12="","（未入力）",期限一覧!A12)</f>
        <v/>
      </c>
      <c r="M2" s="6">
        <f>IF(期限一覧!A13="","（未入力）",期限一覧!A13)</f>
        <v/>
      </c>
      <c r="N2" s="6">
        <f>IF(期限一覧!A14="","（未入力）",期限一覧!A14)</f>
        <v/>
      </c>
    </row>
    <row r="3" ht="20" customHeight="1">
      <c r="A3" s="19" t="inlineStr">
        <is>
          <t>STEP 0</t>
        </is>
      </c>
      <c r="B3" s="20" t="inlineStr">
        <is>
          <t>前提条件を整え終える（推進者の選任・計画の周知・様式1-3号）</t>
        </is>
      </c>
      <c r="C3" s="21">
        <f>IF(期限一覧!$H$3="","",期限一覧!$H$3-14)</f>
        <v/>
      </c>
      <c r="D3" s="21">
        <f>IF(期限一覧!$H$4="","",期限一覧!$H$4-14)</f>
        <v/>
      </c>
      <c r="E3" s="21">
        <f>IF(期限一覧!$H$5="","",期限一覧!$H$5-14)</f>
        <v/>
      </c>
      <c r="F3" s="21">
        <f>IF(期限一覧!$H$6="","",期限一覧!$H$6-14)</f>
        <v/>
      </c>
      <c r="G3" s="21">
        <f>IF(期限一覧!$H$7="","",期限一覧!$H$7-14)</f>
        <v/>
      </c>
      <c r="H3" s="21">
        <f>IF(期限一覧!$H$8="","",期限一覧!$H$8-14)</f>
        <v/>
      </c>
      <c r="I3" s="21">
        <f>IF(期限一覧!$H$9="","",期限一覧!$H$9-14)</f>
        <v/>
      </c>
      <c r="J3" s="21">
        <f>IF(期限一覧!$H$10="","",期限一覧!$H$10-14)</f>
        <v/>
      </c>
      <c r="K3" s="21">
        <f>IF(期限一覧!$H$11="","",期限一覧!$H$11-14)</f>
        <v/>
      </c>
      <c r="L3" s="21">
        <f>IF(期限一覧!$H$12="","",期限一覧!$H$12-14)</f>
        <v/>
      </c>
      <c r="M3" s="21">
        <f>IF(期限一覧!$H$13="","",期限一覧!$H$13-14)</f>
        <v/>
      </c>
      <c r="N3" s="21">
        <f>IF(期限一覧!$H$14="","",期限一覧!$H$14-14)</f>
        <v/>
      </c>
    </row>
    <row r="4" ht="20" customHeight="1">
      <c r="A4" s="19" t="inlineStr">
        <is>
          <t>STEP 1</t>
        </is>
      </c>
      <c r="B4" s="22" t="inlineStr">
        <is>
          <t>★ 計画届を管轄労働局へ提出する</t>
        </is>
      </c>
      <c r="C4" s="23">
        <f>IF(期限一覧!$H$3="","",期限一覧!$H$3)</f>
        <v/>
      </c>
      <c r="D4" s="23">
        <f>IF(期限一覧!$H$4="","",期限一覧!$H$4)</f>
        <v/>
      </c>
      <c r="E4" s="23">
        <f>IF(期限一覧!$H$5="","",期限一覧!$H$5)</f>
        <v/>
      </c>
      <c r="F4" s="23">
        <f>IF(期限一覧!$H$6="","",期限一覧!$H$6)</f>
        <v/>
      </c>
      <c r="G4" s="23">
        <f>IF(期限一覧!$H$7="","",期限一覧!$H$7)</f>
        <v/>
      </c>
      <c r="H4" s="23">
        <f>IF(期限一覧!$H$8="","",期限一覧!$H$8)</f>
        <v/>
      </c>
      <c r="I4" s="23">
        <f>IF(期限一覧!$H$9="","",期限一覧!$H$9)</f>
        <v/>
      </c>
      <c r="J4" s="23">
        <f>IF(期限一覧!$H$10="","",期限一覧!$H$10)</f>
        <v/>
      </c>
      <c r="K4" s="23">
        <f>IF(期限一覧!$H$11="","",期限一覧!$H$11)</f>
        <v/>
      </c>
      <c r="L4" s="23">
        <f>IF(期限一覧!$H$12="","",期限一覧!$H$12)</f>
        <v/>
      </c>
      <c r="M4" s="23">
        <f>IF(期限一覧!$H$13="","",期限一覧!$H$13)</f>
        <v/>
      </c>
      <c r="N4" s="23">
        <f>IF(期限一覧!$H$14="","",期限一覧!$H$14)</f>
        <v/>
      </c>
    </row>
    <row r="5" ht="20" customHeight="1">
      <c r="A5" s="19" t="inlineStr">
        <is>
          <t>STEP 2</t>
        </is>
      </c>
      <c r="B5" s="20" t="inlineStr">
        <is>
          <t>社長通達・受講予定者へ業務命令として周知する</t>
        </is>
      </c>
      <c r="C5" s="21">
        <f>IF(期限一覧!$F$3="","",期限一覧!$F$3-7)</f>
        <v/>
      </c>
      <c r="D5" s="21">
        <f>IF(期限一覧!$F$4="","",期限一覧!$F$4-7)</f>
        <v/>
      </c>
      <c r="E5" s="21">
        <f>IF(期限一覧!$F$5="","",期限一覧!$F$5-7)</f>
        <v/>
      </c>
      <c r="F5" s="21">
        <f>IF(期限一覧!$F$6="","",期限一覧!$F$6-7)</f>
        <v/>
      </c>
      <c r="G5" s="21">
        <f>IF(期限一覧!$F$7="","",期限一覧!$F$7-7)</f>
        <v/>
      </c>
      <c r="H5" s="21">
        <f>IF(期限一覧!$F$8="","",期限一覧!$F$8-7)</f>
        <v/>
      </c>
      <c r="I5" s="21">
        <f>IF(期限一覧!$F$9="","",期限一覧!$F$9-7)</f>
        <v/>
      </c>
      <c r="J5" s="21">
        <f>IF(期限一覧!$F$10="","",期限一覧!$F$10-7)</f>
        <v/>
      </c>
      <c r="K5" s="21">
        <f>IF(期限一覧!$F$11="","",期限一覧!$F$11-7)</f>
        <v/>
      </c>
      <c r="L5" s="21">
        <f>IF(期限一覧!$F$12="","",期限一覧!$F$12-7)</f>
        <v/>
      </c>
      <c r="M5" s="21">
        <f>IF(期限一覧!$F$13="","",期限一覧!$F$13-7)</f>
        <v/>
      </c>
      <c r="N5" s="21">
        <f>IF(期限一覧!$F$14="","",期限一覧!$F$14-7)</f>
        <v/>
      </c>
    </row>
    <row r="6" ht="20" customHeight="1">
      <c r="A6" s="19" t="inlineStr">
        <is>
          <t>STEP 3</t>
        </is>
      </c>
      <c r="B6" s="20" t="inlineStr">
        <is>
          <t>定額制サービスの契約開始／訓練開始</t>
        </is>
      </c>
      <c r="C6" s="21">
        <f>IF(期限一覧!$F$3="","",期限一覧!$F$3)</f>
        <v/>
      </c>
      <c r="D6" s="21">
        <f>IF(期限一覧!$F$4="","",期限一覧!$F$4)</f>
        <v/>
      </c>
      <c r="E6" s="21">
        <f>IF(期限一覧!$F$5="","",期限一覧!$F$5)</f>
        <v/>
      </c>
      <c r="F6" s="21">
        <f>IF(期限一覧!$F$6="","",期限一覧!$F$6)</f>
        <v/>
      </c>
      <c r="G6" s="21">
        <f>IF(期限一覧!$F$7="","",期限一覧!$F$7)</f>
        <v/>
      </c>
      <c r="H6" s="21">
        <f>IF(期限一覧!$F$8="","",期限一覧!$F$8)</f>
        <v/>
      </c>
      <c r="I6" s="21">
        <f>IF(期限一覧!$F$9="","",期限一覧!$F$9)</f>
        <v/>
      </c>
      <c r="J6" s="21">
        <f>IF(期限一覧!$F$10="","",期限一覧!$F$10)</f>
        <v/>
      </c>
      <c r="K6" s="21">
        <f>IF(期限一覧!$F$11="","",期限一覧!$F$11)</f>
        <v/>
      </c>
      <c r="L6" s="21">
        <f>IF(期限一覧!$F$12="","",期限一覧!$F$12)</f>
        <v/>
      </c>
      <c r="M6" s="21">
        <f>IF(期限一覧!$F$13="","",期限一覧!$F$13)</f>
        <v/>
      </c>
      <c r="N6" s="21">
        <f>IF(期限一覧!$F$14="","",期限一覧!$F$14)</f>
        <v/>
      </c>
    </row>
    <row r="7" ht="20" customHeight="1">
      <c r="A7" s="19" t="inlineStr">
        <is>
          <t>STEP 4</t>
        </is>
      </c>
      <c r="B7" s="20" t="inlineStr">
        <is>
          <t>各社へ書類準備を依頼／訓練機関へ様式12号を依頼</t>
        </is>
      </c>
      <c r="C7" s="21">
        <f>IF(期限一覧!$J$3="","",期限一覧!$J$3-30)</f>
        <v/>
      </c>
      <c r="D7" s="21">
        <f>IF(期限一覧!$J$4="","",期限一覧!$J$4-30)</f>
        <v/>
      </c>
      <c r="E7" s="21">
        <f>IF(期限一覧!$J$5="","",期限一覧!$J$5-30)</f>
        <v/>
      </c>
      <c r="F7" s="21">
        <f>IF(期限一覧!$J$6="","",期限一覧!$J$6-30)</f>
        <v/>
      </c>
      <c r="G7" s="21">
        <f>IF(期限一覧!$J$7="","",期限一覧!$J$7-30)</f>
        <v/>
      </c>
      <c r="H7" s="21">
        <f>IF(期限一覧!$J$8="","",期限一覧!$J$8-30)</f>
        <v/>
      </c>
      <c r="I7" s="21">
        <f>IF(期限一覧!$J$9="","",期限一覧!$J$9-30)</f>
        <v/>
      </c>
      <c r="J7" s="21">
        <f>IF(期限一覧!$J$10="","",期限一覧!$J$10-30)</f>
        <v/>
      </c>
      <c r="K7" s="21">
        <f>IF(期限一覧!$J$11="","",期限一覧!$J$11-30)</f>
        <v/>
      </c>
      <c r="L7" s="21">
        <f>IF(期限一覧!$J$12="","",期限一覧!$J$12-30)</f>
        <v/>
      </c>
      <c r="M7" s="21">
        <f>IF(期限一覧!$J$13="","",期限一覧!$J$13-30)</f>
        <v/>
      </c>
      <c r="N7" s="21">
        <f>IF(期限一覧!$J$14="","",期限一覧!$J$14-30)</f>
        <v/>
      </c>
    </row>
    <row r="8" ht="20" customHeight="1">
      <c r="A8" s="19" t="inlineStr">
        <is>
          <t>STEP 4</t>
        </is>
      </c>
      <c r="B8" s="20" t="inlineStr">
        <is>
          <t>10時間未満になりそうな人を最終確認し受講を促す</t>
        </is>
      </c>
      <c r="C8" s="21">
        <f>IF(期限一覧!$J$3="","",期限一覧!$J$3-14)</f>
        <v/>
      </c>
      <c r="D8" s="21">
        <f>IF(期限一覧!$J$4="","",期限一覧!$J$4-14)</f>
        <v/>
      </c>
      <c r="E8" s="21">
        <f>IF(期限一覧!$J$5="","",期限一覧!$J$5-14)</f>
        <v/>
      </c>
      <c r="F8" s="21">
        <f>IF(期限一覧!$J$6="","",期限一覧!$J$6-14)</f>
        <v/>
      </c>
      <c r="G8" s="21">
        <f>IF(期限一覧!$J$7="","",期限一覧!$J$7-14)</f>
        <v/>
      </c>
      <c r="H8" s="21">
        <f>IF(期限一覧!$J$8="","",期限一覧!$J$8-14)</f>
        <v/>
      </c>
      <c r="I8" s="21">
        <f>IF(期限一覧!$J$9="","",期限一覧!$J$9-14)</f>
        <v/>
      </c>
      <c r="J8" s="21">
        <f>IF(期限一覧!$J$10="","",期限一覧!$J$10-14)</f>
        <v/>
      </c>
      <c r="K8" s="21">
        <f>IF(期限一覧!$J$11="","",期限一覧!$J$11-14)</f>
        <v/>
      </c>
      <c r="L8" s="21">
        <f>IF(期限一覧!$J$12="","",期限一覧!$J$12-14)</f>
        <v/>
      </c>
      <c r="M8" s="21">
        <f>IF(期限一覧!$J$13="","",期限一覧!$J$13-14)</f>
        <v/>
      </c>
      <c r="N8" s="21">
        <f>IF(期限一覧!$J$14="","",期限一覧!$J$14-14)</f>
        <v/>
      </c>
    </row>
    <row r="9" ht="20" customHeight="1">
      <c r="A9" s="19" t="inlineStr">
        <is>
          <t>STEP 4</t>
        </is>
      </c>
      <c r="B9" s="20" t="inlineStr">
        <is>
          <t>訓練終了日</t>
        </is>
      </c>
      <c r="C9" s="21">
        <f>IF(期限一覧!$J$3="","",期限一覧!$J$3)</f>
        <v/>
      </c>
      <c r="D9" s="21">
        <f>IF(期限一覧!$J$4="","",期限一覧!$J$4)</f>
        <v/>
      </c>
      <c r="E9" s="21">
        <f>IF(期限一覧!$J$5="","",期限一覧!$J$5)</f>
        <v/>
      </c>
      <c r="F9" s="21">
        <f>IF(期限一覧!$J$6="","",期限一覧!$J$6)</f>
        <v/>
      </c>
      <c r="G9" s="21">
        <f>IF(期限一覧!$J$7="","",期限一覧!$J$7)</f>
        <v/>
      </c>
      <c r="H9" s="21">
        <f>IF(期限一覧!$J$8="","",期限一覧!$J$8)</f>
        <v/>
      </c>
      <c r="I9" s="21">
        <f>IF(期限一覧!$J$9="","",期限一覧!$J$9)</f>
        <v/>
      </c>
      <c r="J9" s="21">
        <f>IF(期限一覧!$J$10="","",期限一覧!$J$10)</f>
        <v/>
      </c>
      <c r="K9" s="21">
        <f>IF(期限一覧!$J$11="","",期限一覧!$J$11)</f>
        <v/>
      </c>
      <c r="L9" s="21">
        <f>IF(期限一覧!$J$12="","",期限一覧!$J$12)</f>
        <v/>
      </c>
      <c r="M9" s="21">
        <f>IF(期限一覧!$J$13="","",期限一覧!$J$13)</f>
        <v/>
      </c>
      <c r="N9" s="21">
        <f>IF(期限一覧!$J$14="","",期限一覧!$J$14)</f>
        <v/>
      </c>
    </row>
    <row r="10" ht="20" customHeight="1">
      <c r="A10" s="19" t="inlineStr">
        <is>
          <t>STEP 5</t>
        </is>
      </c>
      <c r="B10" s="20" t="inlineStr">
        <is>
          <t>訓練機関へ修了証明・10時間以上の一覧表を依頼</t>
        </is>
      </c>
      <c r="C10" s="21">
        <f>IF(期限一覧!$J$3="","",期限一覧!$J$3+1)</f>
        <v/>
      </c>
      <c r="D10" s="21">
        <f>IF(期限一覧!$J$4="","",期限一覧!$J$4+1)</f>
        <v/>
      </c>
      <c r="E10" s="21">
        <f>IF(期限一覧!$J$5="","",期限一覧!$J$5+1)</f>
        <v/>
      </c>
      <c r="F10" s="21">
        <f>IF(期限一覧!$J$6="","",期限一覧!$J$6+1)</f>
        <v/>
      </c>
      <c r="G10" s="21">
        <f>IF(期限一覧!$J$7="","",期限一覧!$J$7+1)</f>
        <v/>
      </c>
      <c r="H10" s="21">
        <f>IF(期限一覧!$J$8="","",期限一覧!$J$8+1)</f>
        <v/>
      </c>
      <c r="I10" s="21">
        <f>IF(期限一覧!$J$9="","",期限一覧!$J$9+1)</f>
        <v/>
      </c>
      <c r="J10" s="21">
        <f>IF(期限一覧!$J$10="","",期限一覧!$J$10+1)</f>
        <v/>
      </c>
      <c r="K10" s="21">
        <f>IF(期限一覧!$J$11="","",期限一覧!$J$11+1)</f>
        <v/>
      </c>
      <c r="L10" s="21">
        <f>IF(期限一覧!$J$12="","",期限一覧!$J$12+1)</f>
        <v/>
      </c>
      <c r="M10" s="21">
        <f>IF(期限一覧!$J$13="","",期限一覧!$J$13+1)</f>
        <v/>
      </c>
      <c r="N10" s="21">
        <f>IF(期限一覧!$J$14="","",期限一覧!$J$14+1)</f>
        <v/>
      </c>
    </row>
    <row r="11" ht="20" customHeight="1">
      <c r="A11" s="19" t="inlineStr">
        <is>
          <t>STEP 5</t>
        </is>
      </c>
      <c r="B11" s="20" t="inlineStr">
        <is>
          <t>各社から書類を回収し終える</t>
        </is>
      </c>
      <c r="C11" s="21">
        <f>IF(期限一覧!$J$3="","",期限一覧!$J$3+14)</f>
        <v/>
      </c>
      <c r="D11" s="21">
        <f>IF(期限一覧!$J$4="","",期限一覧!$J$4+14)</f>
        <v/>
      </c>
      <c r="E11" s="21">
        <f>IF(期限一覧!$J$5="","",期限一覧!$J$5+14)</f>
        <v/>
      </c>
      <c r="F11" s="21">
        <f>IF(期限一覧!$J$6="","",期限一覧!$J$6+14)</f>
        <v/>
      </c>
      <c r="G11" s="21">
        <f>IF(期限一覧!$J$7="","",期限一覧!$J$7+14)</f>
        <v/>
      </c>
      <c r="H11" s="21">
        <f>IF(期限一覧!$J$8="","",期限一覧!$J$8+14)</f>
        <v/>
      </c>
      <c r="I11" s="21">
        <f>IF(期限一覧!$J$9="","",期限一覧!$J$9+14)</f>
        <v/>
      </c>
      <c r="J11" s="21">
        <f>IF(期限一覧!$J$10="","",期限一覧!$J$10+14)</f>
        <v/>
      </c>
      <c r="K11" s="21">
        <f>IF(期限一覧!$J$11="","",期限一覧!$J$11+14)</f>
        <v/>
      </c>
      <c r="L11" s="21">
        <f>IF(期限一覧!$J$12="","",期限一覧!$J$12+14)</f>
        <v/>
      </c>
      <c r="M11" s="21">
        <f>IF(期限一覧!$J$13="","",期限一覧!$J$13+14)</f>
        <v/>
      </c>
      <c r="N11" s="21">
        <f>IF(期限一覧!$J$14="","",期限一覧!$J$14+14)</f>
        <v/>
      </c>
    </row>
    <row r="12" ht="20" customHeight="1">
      <c r="A12" s="19" t="inlineStr">
        <is>
          <t>STEP 5</t>
        </is>
      </c>
      <c r="B12" s="20" t="inlineStr">
        <is>
          <t>支給申請書類一式を完成させる（目標）</t>
        </is>
      </c>
      <c r="C12" s="21">
        <f>IF(期限一覧!$J$3="","",期限一覧!$J$3+30)</f>
        <v/>
      </c>
      <c r="D12" s="21">
        <f>IF(期限一覧!$J$4="","",期限一覧!$J$4+30)</f>
        <v/>
      </c>
      <c r="E12" s="21">
        <f>IF(期限一覧!$J$5="","",期限一覧!$J$5+30)</f>
        <v/>
      </c>
      <c r="F12" s="21">
        <f>IF(期限一覧!$J$6="","",期限一覧!$J$6+30)</f>
        <v/>
      </c>
      <c r="G12" s="21">
        <f>IF(期限一覧!$J$7="","",期限一覧!$J$7+30)</f>
        <v/>
      </c>
      <c r="H12" s="21">
        <f>IF(期限一覧!$J$8="","",期限一覧!$J$8+30)</f>
        <v/>
      </c>
      <c r="I12" s="21">
        <f>IF(期限一覧!$J$9="","",期限一覧!$J$9+30)</f>
        <v/>
      </c>
      <c r="J12" s="21">
        <f>IF(期限一覧!$J$10="","",期限一覧!$J$10+30)</f>
        <v/>
      </c>
      <c r="K12" s="21">
        <f>IF(期限一覧!$J$11="","",期限一覧!$J$11+30)</f>
        <v/>
      </c>
      <c r="L12" s="21">
        <f>IF(期限一覧!$J$12="","",期限一覧!$J$12+30)</f>
        <v/>
      </c>
      <c r="M12" s="21">
        <f>IF(期限一覧!$J$13="","",期限一覧!$J$13+30)</f>
        <v/>
      </c>
      <c r="N12" s="21">
        <f>IF(期限一覧!$J$14="","",期限一覧!$J$14+30)</f>
        <v/>
      </c>
    </row>
    <row r="13" ht="20" customHeight="1">
      <c r="A13" s="19" t="inlineStr">
        <is>
          <t>STEP 5</t>
        </is>
      </c>
      <c r="B13" s="22" t="inlineStr">
        <is>
          <t>★ 支給申請書類一式を管轄労働局へ提出する</t>
        </is>
      </c>
      <c r="C13" s="23">
        <f>IF(期限一覧!$K$3="","",期限一覧!$K$3)</f>
        <v/>
      </c>
      <c r="D13" s="23">
        <f>IF(期限一覧!$K$4="","",期限一覧!$K$4)</f>
        <v/>
      </c>
      <c r="E13" s="23">
        <f>IF(期限一覧!$K$5="","",期限一覧!$K$5)</f>
        <v/>
      </c>
      <c r="F13" s="23">
        <f>IF(期限一覧!$K$6="","",期限一覧!$K$6)</f>
        <v/>
      </c>
      <c r="G13" s="23">
        <f>IF(期限一覧!$K$7="","",期限一覧!$K$7)</f>
        <v/>
      </c>
      <c r="H13" s="23">
        <f>IF(期限一覧!$K$8="","",期限一覧!$K$8)</f>
        <v/>
      </c>
      <c r="I13" s="23">
        <f>IF(期限一覧!$K$9="","",期限一覧!$K$9)</f>
        <v/>
      </c>
      <c r="J13" s="23">
        <f>IF(期限一覧!$K$10="","",期限一覧!$K$10)</f>
        <v/>
      </c>
      <c r="K13" s="23">
        <f>IF(期限一覧!$K$11="","",期限一覧!$K$11)</f>
        <v/>
      </c>
      <c r="L13" s="23">
        <f>IF(期限一覧!$K$12="","",期限一覧!$K$12)</f>
        <v/>
      </c>
      <c r="M13" s="23">
        <f>IF(期限一覧!$K$13="","",期限一覧!$K$13)</f>
        <v/>
      </c>
      <c r="N13" s="23">
        <f>IF(期限一覧!$K$14="","",期限一覧!$K$14)</f>
        <v/>
      </c>
    </row>
    <row r="15">
      <c r="B15" s="18" t="inlineStr">
        <is>
          <t>※ 日付は「期限一覧」シートの入力から自動で出ています。このシートには入力しません。</t>
        </is>
      </c>
    </row>
    <row r="16">
      <c r="B16" s="4" t="inlineStr">
        <is>
          <t>※ ★の2行が厳守の期限です。ほかは、そこから逆算した社内の目標日です。</t>
        </is>
      </c>
    </row>
    <row r="17">
      <c r="B17" s="18" t="inlineStr">
        <is>
          <t>※ 契約期間が1年を超える場合は、2年目以降を「期限一覧」に別の行として入れてください。</t>
        </is>
      </c>
    </row>
  </sheetData>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I7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チェックリスト　　終わった項目に「レ」と入れてください（会社ごとに列が分かれています）</t>
        </is>
      </c>
    </row>
    <row r="2" ht="34" customHeight="1">
      <c r="A2" s="6" t="inlineStr">
        <is>
          <t>やること</t>
        </is>
      </c>
      <c r="B2" s="24">
        <f>IF(期限一覧!A3="","（会社1）",期限一覧!A3)</f>
        <v/>
      </c>
      <c r="C2" s="24">
        <f>IF(期限一覧!A4="","（会社2）",期限一覧!A4)</f>
        <v/>
      </c>
      <c r="D2" s="24">
        <f>IF(期限一覧!A5="","（会社3）",期限一覧!A5)</f>
        <v/>
      </c>
      <c r="E2" s="24">
        <f>IF(期限一覧!A6="","（会社4）",期限一覧!A6)</f>
        <v/>
      </c>
      <c r="F2" s="24">
        <f>IF(期限一覧!A7="","（会社5）",期限一覧!A7)</f>
        <v/>
      </c>
      <c r="G2" s="24">
        <f>IF(期限一覧!A8="","（会社6）",期限一覧!A8)</f>
        <v/>
      </c>
      <c r="H2" s="24">
        <f>IF(期限一覧!A9="","（会社7）",期限一覧!A9)</f>
        <v/>
      </c>
      <c r="I2" s="24">
        <f>IF(期限一覧!A10="","（会社8）",期限一覧!A10)</f>
        <v/>
      </c>
    </row>
    <row r="3" ht="20" customHeight="1">
      <c r="A3" s="25" t="inlineStr">
        <is>
          <t>進捗（済んだ数 / 全63項目）</t>
        </is>
      </c>
      <c r="B3" s="26">
        <f>COUNTA(B5:B73)&amp;" / 63"</f>
        <v/>
      </c>
      <c r="C3" s="26">
        <f>COUNTA(C5:C73)&amp;" / 63"</f>
        <v/>
      </c>
      <c r="D3" s="26">
        <f>COUNTA(D5:D73)&amp;" / 63"</f>
        <v/>
      </c>
      <c r="E3" s="26">
        <f>COUNTA(E5:E73)&amp;" / 63"</f>
        <v/>
      </c>
      <c r="F3" s="26">
        <f>COUNTA(F5:F73)&amp;" / 63"</f>
        <v/>
      </c>
      <c r="G3" s="26">
        <f>COUNTA(G5:G73)&amp;" / 63"</f>
        <v/>
      </c>
      <c r="H3" s="26">
        <f>COUNTA(H5:H73)&amp;" / 63"</f>
        <v/>
      </c>
      <c r="I3" s="26">
        <f>COUNTA(I5:I73)&amp;" / 63"</f>
        <v/>
      </c>
    </row>
    <row r="4" ht="20" customHeight="1">
      <c r="A4" s="27" t="inlineStr">
        <is>
          <t>PHASE 0　事前準備（計画届を出す前に済ませる）</t>
        </is>
      </c>
      <c r="B4" s="28" t="n"/>
      <c r="C4" s="28" t="n"/>
      <c r="D4" s="28" t="n"/>
      <c r="E4" s="28" t="n"/>
      <c r="F4" s="28" t="n"/>
      <c r="G4" s="28" t="n"/>
      <c r="H4" s="28" t="n"/>
      <c r="I4" s="28" t="n"/>
    </row>
    <row r="5" ht="18" customHeight="1">
      <c r="A5" s="20" t="inlineStr">
        <is>
          <t>□　【最初に】厚労省サイトで支給要領・パンフレットの最新版を確認した（版数と確認日を記録）</t>
        </is>
      </c>
      <c r="B5" s="16" t="n"/>
      <c r="C5" s="16" t="n"/>
      <c r="D5" s="16" t="n"/>
      <c r="E5" s="16" t="n"/>
      <c r="F5" s="16" t="n"/>
      <c r="G5" s="16" t="n"/>
      <c r="H5" s="16" t="n"/>
      <c r="I5" s="16" t="n"/>
    </row>
    <row r="6" ht="18" customHeight="1">
      <c r="A6" s="20" t="inlineStr">
        <is>
          <t>□　職業能力開発推進者を選任した（辞令・記録あり）</t>
        </is>
      </c>
      <c r="B6" s="16" t="n"/>
      <c r="C6" s="16" t="n"/>
      <c r="D6" s="16" t="n"/>
      <c r="E6" s="16" t="n"/>
      <c r="F6" s="16" t="n"/>
      <c r="G6" s="16" t="n"/>
      <c r="H6" s="16" t="n"/>
      <c r="I6" s="16" t="n"/>
    </row>
    <row r="7" ht="18" customHeight="1">
      <c r="A7" s="20" t="inlineStr">
        <is>
          <t>□　事業内職業能力開発計画を策定した</t>
        </is>
      </c>
      <c r="B7" s="16" t="n"/>
      <c r="C7" s="16" t="n"/>
      <c r="D7" s="16" t="n"/>
      <c r="E7" s="16" t="n"/>
      <c r="F7" s="16" t="n"/>
      <c r="G7" s="16" t="n"/>
      <c r="H7" s="16" t="n"/>
      <c r="I7" s="16" t="n"/>
    </row>
    <row r="8" ht="18" customHeight="1">
      <c r="A8" s="20" t="inlineStr">
        <is>
          <t>□　事業内職業能力開発計画を全従業員に周知した（周知記録あり）</t>
        </is>
      </c>
      <c r="B8" s="16" t="n"/>
      <c r="C8" s="16" t="n"/>
      <c r="D8" s="16" t="n"/>
      <c r="E8" s="16" t="n"/>
      <c r="F8" s="16" t="n"/>
      <c r="G8" s="16" t="n"/>
      <c r="H8" s="16" t="n"/>
      <c r="I8" s="16" t="n"/>
    </row>
    <row r="9" ht="18" customHeight="1">
      <c r="A9" s="20" t="inlineStr">
        <is>
          <t>□　事業展開等実施計画（様式第1-3号）を作成した</t>
        </is>
      </c>
      <c r="B9" s="16" t="n"/>
      <c r="C9" s="16" t="n"/>
      <c r="D9" s="16" t="n"/>
      <c r="E9" s="16" t="n"/>
      <c r="F9" s="16" t="n"/>
      <c r="G9" s="16" t="n"/>
      <c r="H9" s="16" t="n"/>
      <c r="I9" s="16" t="n"/>
    </row>
    <row r="10" ht="18" customHeight="1">
      <c r="A10" s="20" t="inlineStr">
        <is>
          <t>□　定額制サービスの内容を確認した（対象外講座が全講座の5割未満）</t>
        </is>
      </c>
      <c r="B10" s="16" t="n"/>
      <c r="C10" s="16" t="n"/>
      <c r="D10" s="16" t="n"/>
      <c r="E10" s="16" t="n"/>
      <c r="F10" s="16" t="n"/>
      <c r="G10" s="16" t="n"/>
      <c r="H10" s="16" t="n"/>
      <c r="I10" s="16" t="n"/>
    </row>
    <row r="11" ht="18" customHeight="1">
      <c r="A11" s="20" t="inlineStr">
        <is>
          <t>□　労働保険料に未納がないことを確認した（判定は「前年度より前」の保険年度。表現に幅があるため労働局に確認）</t>
        </is>
      </c>
      <c r="B11" s="16" t="n"/>
      <c r="C11" s="16" t="n"/>
      <c r="D11" s="16" t="n"/>
      <c r="E11" s="16" t="n"/>
      <c r="F11" s="16" t="n"/>
      <c r="G11" s="16" t="n"/>
      <c r="H11" s="16" t="n"/>
      <c r="I11" s="16" t="n"/>
    </row>
    <row r="12" ht="18" customHeight="1">
      <c r="A12" s="20" t="inlineStr">
        <is>
          <t>□　「事前スクリーニング」シートで欠格事由を確認した（労働関係法令違反・過去の不正受給・暴力団・性風俗関連）</t>
        </is>
      </c>
      <c r="B12" s="16" t="n"/>
      <c r="C12" s="16" t="n"/>
      <c r="D12" s="16" t="n"/>
      <c r="E12" s="16" t="n"/>
      <c r="F12" s="16" t="n"/>
      <c r="G12" s="16" t="n"/>
      <c r="H12" s="16" t="n"/>
      <c r="I12" s="16" t="n"/>
    </row>
    <row r="13" ht="18" customHeight="1">
      <c r="A13" s="20" t="inlineStr">
        <is>
          <t>□　企業全体（企業単位。事業所単位ではない）で中小企業に当たるかを判定した</t>
        </is>
      </c>
      <c r="B13" s="16" t="n"/>
      <c r="C13" s="16" t="n"/>
      <c r="D13" s="16" t="n"/>
      <c r="E13" s="16" t="n"/>
      <c r="F13" s="16" t="n"/>
      <c r="G13" s="16" t="n"/>
      <c r="H13" s="16" t="n"/>
      <c r="I13" s="16" t="n"/>
    </row>
    <row r="14" ht="18" customHeight="1">
      <c r="A14" s="20" t="inlineStr">
        <is>
          <t>□　定額制サービスの契約を各社がそれぞれ結ぶ形にした（親会社の一括契約にしていない）</t>
        </is>
      </c>
      <c r="B14" s="16" t="n"/>
      <c r="C14" s="16" t="n"/>
      <c r="D14" s="16" t="n"/>
      <c r="E14" s="16" t="n"/>
      <c r="F14" s="16" t="n"/>
      <c r="G14" s="16" t="n"/>
      <c r="H14" s="16" t="n"/>
      <c r="I14" s="16" t="n"/>
    </row>
    <row r="15" ht="18" customHeight="1">
      <c r="A15" s="20" t="inlineStr">
        <is>
          <t>□　定額制サービスのアカウントを雇用保険適用事業所ごとに分けた（訓練機関が事業所別の一覧表を出せる形か確認）</t>
        </is>
      </c>
      <c r="B15" s="16" t="n"/>
      <c r="C15" s="16" t="n"/>
      <c r="D15" s="16" t="n"/>
      <c r="E15" s="16" t="n"/>
      <c r="F15" s="16" t="n"/>
      <c r="G15" s="16" t="n"/>
      <c r="H15" s="16" t="n"/>
      <c r="I15" s="16" t="n"/>
    </row>
    <row r="16" ht="18" customHeight="1">
      <c r="A16" s="20" t="inlineStr">
        <is>
          <t>□　認定経営革新等支援機関の確認が必要かを労働局に確認した　※要確認事項</t>
        </is>
      </c>
      <c r="B16" s="16" t="n"/>
      <c r="C16" s="16" t="n"/>
      <c r="D16" s="16" t="n"/>
      <c r="E16" s="16" t="n"/>
      <c r="F16" s="16" t="n"/>
      <c r="G16" s="16" t="n"/>
      <c r="H16" s="16" t="n"/>
      <c r="I16" s="16" t="n"/>
    </row>
    <row r="17" ht="18" customHeight="1">
      <c r="A17" s="20" t="inlineStr">
        <is>
          <t>□　経費助成の上限額を労働局に確認した　※この資料には記載がありません</t>
        </is>
      </c>
      <c r="B17" s="16" t="n"/>
      <c r="C17" s="16" t="n"/>
      <c r="D17" s="16" t="n"/>
      <c r="E17" s="16" t="n"/>
      <c r="F17" s="16" t="n"/>
      <c r="G17" s="16" t="n"/>
      <c r="H17" s="16" t="n"/>
      <c r="I17" s="16" t="n"/>
    </row>
    <row r="18" ht="18" customHeight="1">
      <c r="A18" s="20" t="inlineStr">
        <is>
          <t>□　1労働者1年度あたりの申請回数の上限を労働局に確認した　※この資料には記載がありません</t>
        </is>
      </c>
      <c r="B18" s="16" t="n"/>
      <c r="C18" s="16" t="n"/>
      <c r="D18" s="16" t="n"/>
      <c r="E18" s="16" t="n"/>
      <c r="F18" s="16" t="n"/>
      <c r="G18" s="16" t="n"/>
      <c r="H18" s="16" t="n"/>
      <c r="I18" s="16" t="n"/>
    </row>
    <row r="19" ht="20" customHeight="1">
      <c r="A19" s="27" t="inlineStr">
        <is>
          <t>PHASE 1　計画届の提出（契約開始日の1か月前まで）</t>
        </is>
      </c>
      <c r="B19" s="28" t="n"/>
      <c r="C19" s="28" t="n"/>
      <c r="D19" s="28" t="n"/>
      <c r="E19" s="28" t="n"/>
      <c r="F19" s="28" t="n"/>
      <c r="G19" s="28" t="n"/>
      <c r="H19" s="28" t="n"/>
      <c r="I19" s="28" t="n"/>
    </row>
    <row r="20" ht="18" customHeight="1">
      <c r="A20" s="20" t="inlineStr">
        <is>
          <t>□　訓練受講予定者を確定した（後から追加できません。受講する可能性のある人は広めに載せる）</t>
        </is>
      </c>
      <c r="B20" s="16" t="n"/>
      <c r="C20" s="16" t="n"/>
      <c r="D20" s="16" t="n"/>
      <c r="E20" s="16" t="n"/>
      <c r="F20" s="16" t="n"/>
      <c r="G20" s="16" t="n"/>
      <c r="H20" s="16" t="n"/>
      <c r="I20" s="16" t="n"/>
    </row>
    <row r="21" ht="18" customHeight="1">
      <c r="A21" s="20" t="inlineStr">
        <is>
          <t>□　定額制サービスの契約予定日を確認した</t>
        </is>
      </c>
      <c r="B21" s="16" t="n"/>
      <c r="C21" s="16" t="n"/>
      <c r="D21" s="16" t="n"/>
      <c r="E21" s="16" t="n"/>
      <c r="F21" s="16" t="n"/>
      <c r="G21" s="16" t="n"/>
      <c r="H21" s="16" t="n"/>
      <c r="I21" s="16" t="n"/>
    </row>
    <row r="22" ht="18" customHeight="1">
      <c r="A22" s="20" t="inlineStr">
        <is>
          <t>□　計画届の提出期限を確認した（早すぎる提出も受け付けられない可能性あり。最早提出日も労働局に確認）</t>
        </is>
      </c>
      <c r="B22" s="16" t="n"/>
      <c r="C22" s="16" t="n"/>
      <c r="D22" s="16" t="n"/>
      <c r="E22" s="16" t="n"/>
      <c r="F22" s="16" t="n"/>
      <c r="G22" s="16" t="n"/>
      <c r="H22" s="16" t="n"/>
      <c r="I22" s="16" t="n"/>
    </row>
    <row r="23" ht="18" customHeight="1">
      <c r="A23" s="20" t="inlineStr">
        <is>
          <t>□　様式第1-1号「職業訓練実施計画届」を作成した</t>
        </is>
      </c>
      <c r="B23" s="16" t="n"/>
      <c r="C23" s="16" t="n"/>
      <c r="D23" s="16" t="n"/>
      <c r="E23" s="16" t="n"/>
      <c r="F23" s="16" t="n"/>
      <c r="G23" s="16" t="n"/>
      <c r="H23" s="16" t="n"/>
      <c r="I23" s="16" t="n"/>
    </row>
    <row r="24" ht="18" customHeight="1">
      <c r="A24" s="20" t="inlineStr">
        <is>
          <t>□　様式第1-3号「事業展開等実施計画」を作成した</t>
        </is>
      </c>
      <c r="B24" s="16" t="n"/>
      <c r="C24" s="16" t="n"/>
      <c r="D24" s="16" t="n"/>
      <c r="E24" s="16" t="n"/>
      <c r="F24" s="16" t="n"/>
      <c r="G24" s="16" t="n"/>
      <c r="H24" s="16" t="n"/>
      <c r="I24" s="16" t="n"/>
    </row>
    <row r="25" ht="18" customHeight="1">
      <c r="A25" s="20" t="inlineStr">
        <is>
          <t>□　様式第3-2号「対象労働者一覧（定額制サービス）」を作成した</t>
        </is>
      </c>
      <c r="B25" s="16" t="n"/>
      <c r="C25" s="16" t="n"/>
      <c r="D25" s="16" t="n"/>
      <c r="E25" s="16" t="n"/>
      <c r="F25" s="16" t="n"/>
      <c r="G25" s="16" t="n"/>
      <c r="H25" s="16" t="n"/>
      <c r="I25" s="16" t="n"/>
    </row>
    <row r="26" ht="18" customHeight="1">
      <c r="A26" s="20" t="inlineStr">
        <is>
          <t>□　（複数事業所の場合）事業所確認票を作成した　※様式番号は要確認</t>
        </is>
      </c>
      <c r="B26" s="16" t="n"/>
      <c r="C26" s="16" t="n"/>
      <c r="D26" s="16" t="n"/>
      <c r="E26" s="16" t="n"/>
      <c r="F26" s="16" t="n"/>
      <c r="G26" s="16" t="n"/>
      <c r="H26" s="16" t="n"/>
      <c r="I26" s="16" t="n"/>
    </row>
    <row r="27" ht="18" customHeight="1">
      <c r="A27" s="20" t="inlineStr">
        <is>
          <t>□　訓練機関からカリキュラム・受講案内を入手した</t>
        </is>
      </c>
      <c r="B27" s="16" t="n"/>
      <c r="C27" s="16" t="n"/>
      <c r="D27" s="16" t="n"/>
      <c r="E27" s="16" t="n"/>
      <c r="F27" s="16" t="n"/>
      <c r="G27" s="16" t="n"/>
      <c r="H27" s="16" t="n"/>
      <c r="I27" s="16" t="n"/>
    </row>
    <row r="28" ht="18" customHeight="1">
      <c r="A28" s="20" t="inlineStr">
        <is>
          <t>□　全書類の記載内容を最終確認した</t>
        </is>
      </c>
      <c r="B28" s="16" t="n"/>
      <c r="C28" s="16" t="n"/>
      <c r="D28" s="16" t="n"/>
      <c r="E28" s="16" t="n"/>
      <c r="F28" s="16" t="n"/>
      <c r="G28" s="16" t="n"/>
      <c r="H28" s="16" t="n"/>
      <c r="I28" s="16" t="n"/>
    </row>
    <row r="29" ht="18" customHeight="1">
      <c r="A29" s="20" t="inlineStr">
        <is>
          <t>□　提出先が職業安定部か雇用環境・均等部（室）かを管轄局のサイトで確認した</t>
        </is>
      </c>
      <c r="B29" s="16" t="n"/>
      <c r="C29" s="16" t="n"/>
      <c r="D29" s="16" t="n"/>
      <c r="E29" s="16" t="n"/>
      <c r="F29" s="16" t="n"/>
      <c r="G29" s="16" t="n"/>
      <c r="H29" s="16" t="n"/>
      <c r="I29" s="16" t="n"/>
    </row>
    <row r="30" ht="18" customHeight="1">
      <c r="A30" s="20" t="inlineStr">
        <is>
          <t>□　管轄労働局へ計画届一式を提出した（郵送は到着日が提出日）</t>
        </is>
      </c>
      <c r="B30" s="16" t="n"/>
      <c r="C30" s="16" t="n"/>
      <c r="D30" s="16" t="n"/>
      <c r="E30" s="16" t="n"/>
      <c r="F30" s="16" t="n"/>
      <c r="G30" s="16" t="n"/>
      <c r="H30" s="16" t="n"/>
      <c r="I30" s="16" t="n"/>
    </row>
    <row r="31" ht="18" customHeight="1">
      <c r="A31" s="20" t="inlineStr">
        <is>
          <t>□　労働局から受付済みの計画届（写し）を受領した</t>
        </is>
      </c>
      <c r="B31" s="16" t="n"/>
      <c r="C31" s="16" t="n"/>
      <c r="D31" s="16" t="n"/>
      <c r="E31" s="16" t="n"/>
      <c r="F31" s="16" t="n"/>
      <c r="G31" s="16" t="n"/>
      <c r="H31" s="16" t="n"/>
      <c r="I31" s="16" t="n"/>
    </row>
    <row r="32" ht="18" customHeight="1">
      <c r="A32" s="20" t="inlineStr">
        <is>
          <t>□　計画届の写しを各社社長・担当者に共有した</t>
        </is>
      </c>
      <c r="B32" s="16" t="n"/>
      <c r="C32" s="16" t="n"/>
      <c r="D32" s="16" t="n"/>
      <c r="E32" s="16" t="n"/>
      <c r="F32" s="16" t="n"/>
      <c r="G32" s="16" t="n"/>
      <c r="H32" s="16" t="n"/>
      <c r="I32" s="16" t="n"/>
    </row>
    <row r="33" ht="20" customHeight="1">
      <c r="A33" s="27" t="inlineStr">
        <is>
          <t>PHASE 2　社内通達・準備（計画届提出後〜訓練開始前）</t>
        </is>
      </c>
      <c r="B33" s="28" t="n"/>
      <c r="C33" s="28" t="n"/>
      <c r="D33" s="28" t="n"/>
      <c r="E33" s="28" t="n"/>
      <c r="F33" s="28" t="n"/>
      <c r="G33" s="28" t="n"/>
      <c r="H33" s="28" t="n"/>
      <c r="I33" s="28" t="n"/>
    </row>
    <row r="34" ht="18" customHeight="1">
      <c r="A34" s="20" t="inlineStr">
        <is>
          <t>□　各社社長へ計画届の内容と訓練期間を通知した</t>
        </is>
      </c>
      <c r="B34" s="16" t="n"/>
      <c r="C34" s="16" t="n"/>
      <c r="D34" s="16" t="n"/>
      <c r="E34" s="16" t="n"/>
      <c r="F34" s="16" t="n"/>
      <c r="G34" s="16" t="n"/>
      <c r="H34" s="16" t="n"/>
      <c r="I34" s="16" t="n"/>
    </row>
    <row r="35" ht="18" customHeight="1">
      <c r="A35" s="20" t="inlineStr">
        <is>
          <t>□　受講予定者に「業務命令」として訓練受講を伝達した</t>
        </is>
      </c>
      <c r="B35" s="16" t="n"/>
      <c r="C35" s="16" t="n"/>
      <c r="D35" s="16" t="n"/>
      <c r="E35" s="16" t="n"/>
      <c r="F35" s="16" t="n"/>
      <c r="G35" s="16" t="n"/>
      <c r="H35" s="16" t="n"/>
      <c r="I35" s="16" t="n"/>
    </row>
    <row r="36" ht="18" customHeight="1">
      <c r="A36" s="20" t="inlineStr">
        <is>
          <t>□　受講は労働時間内（所定労働時間内）に行うよう周知した</t>
        </is>
      </c>
      <c r="B36" s="16" t="n"/>
      <c r="C36" s="16" t="n"/>
      <c r="D36" s="16" t="n"/>
      <c r="E36" s="16" t="n"/>
      <c r="F36" s="16" t="n"/>
      <c r="G36" s="16" t="n"/>
      <c r="H36" s="16" t="n"/>
      <c r="I36" s="16" t="n"/>
    </row>
    <row r="37" ht="18" customHeight="1">
      <c r="A37" s="20" t="inlineStr">
        <is>
          <t>□　自発的な時間外受講は助成対象時間に含まれないことを説明した</t>
        </is>
      </c>
      <c r="B37" s="16" t="n"/>
      <c r="C37" s="16" t="n"/>
      <c r="D37" s="16" t="n"/>
      <c r="E37" s="16" t="n"/>
      <c r="F37" s="16" t="n"/>
      <c r="G37" s="16" t="n"/>
      <c r="H37" s="16" t="n"/>
      <c r="I37" s="16" t="n"/>
    </row>
    <row r="38" ht="18" customHeight="1">
      <c r="A38" s="20" t="inlineStr">
        <is>
          <t>□　10時間以上修了しない場合は助成対象外になることを説明した</t>
        </is>
      </c>
      <c r="B38" s="16" t="n"/>
      <c r="C38" s="16" t="n"/>
      <c r="D38" s="16" t="n"/>
      <c r="E38" s="16" t="n"/>
      <c r="F38" s="16" t="n"/>
      <c r="G38" s="16" t="n"/>
      <c r="H38" s="16" t="n"/>
      <c r="I38" s="16" t="n"/>
    </row>
    <row r="39" ht="18" customHeight="1">
      <c r="A39" s="20" t="inlineStr">
        <is>
          <t>□　受講記録の管理方法を決定した（LMSログの定期保存等）</t>
        </is>
      </c>
      <c r="B39" s="16" t="n"/>
      <c r="C39" s="16" t="n"/>
      <c r="D39" s="16" t="n"/>
      <c r="E39" s="16" t="n"/>
      <c r="F39" s="16" t="n"/>
      <c r="G39" s="16" t="n"/>
      <c r="H39" s="16" t="n"/>
      <c r="I39" s="16" t="n"/>
    </row>
    <row r="40" ht="18" customHeight="1">
      <c r="A40" s="20" t="inlineStr">
        <is>
          <t>□　出勤簿・賃金台帳の管理担当者を確認した</t>
        </is>
      </c>
      <c r="B40" s="16" t="n"/>
      <c r="C40" s="16" t="n"/>
      <c r="D40" s="16" t="n"/>
      <c r="E40" s="16" t="n"/>
      <c r="F40" s="16" t="n"/>
      <c r="G40" s="16" t="n"/>
      <c r="H40" s="16" t="n"/>
      <c r="I40" s="16" t="n"/>
    </row>
    <row r="41" ht="18" customHeight="1">
      <c r="A41" s="20" t="inlineStr">
        <is>
          <t>□　支給申請期限をカレンダーに登録した</t>
        </is>
      </c>
      <c r="B41" s="16" t="n"/>
      <c r="C41" s="16" t="n"/>
      <c r="D41" s="16" t="n"/>
      <c r="E41" s="16" t="n"/>
      <c r="F41" s="16" t="n"/>
      <c r="G41" s="16" t="n"/>
      <c r="H41" s="16" t="n"/>
      <c r="I41" s="16" t="n"/>
    </row>
    <row r="42" ht="20" customHeight="1">
      <c r="A42" s="27" t="inlineStr">
        <is>
          <t>PHASE 3　訓練実施中の管理（契約期間中・最長1年）</t>
        </is>
      </c>
      <c r="B42" s="28" t="n"/>
      <c r="C42" s="28" t="n"/>
      <c r="D42" s="28" t="n"/>
      <c r="E42" s="28" t="n"/>
      <c r="F42" s="28" t="n"/>
      <c r="G42" s="28" t="n"/>
      <c r="H42" s="28" t="n"/>
      <c r="I42" s="28" t="n"/>
    </row>
    <row r="43" ht="18" customHeight="1">
      <c r="A43" s="20" t="inlineStr">
        <is>
          <t>□　定額制サービスの契約を締結した（受講開始）</t>
        </is>
      </c>
      <c r="B43" s="16" t="n"/>
      <c r="C43" s="16" t="n"/>
      <c r="D43" s="16" t="n"/>
      <c r="E43" s="16" t="n"/>
      <c r="F43" s="16" t="n"/>
      <c r="G43" s="16" t="n"/>
      <c r="H43" s="16" t="n"/>
      <c r="I43" s="16" t="n"/>
    </row>
    <row r="44" ht="18" customHeight="1">
      <c r="A44" s="20" t="inlineStr">
        <is>
          <t>□　対象労働者の受講進捗状況を定期確認している（月1回以上）</t>
        </is>
      </c>
      <c r="B44" s="16" t="n"/>
      <c r="C44" s="16" t="n"/>
      <c r="D44" s="16" t="n"/>
      <c r="E44" s="16" t="n"/>
      <c r="F44" s="16" t="n"/>
      <c r="G44" s="16" t="n"/>
      <c r="H44" s="16" t="n"/>
      <c r="I44" s="16" t="n"/>
    </row>
    <row r="45" ht="18" customHeight="1">
      <c r="A45" s="20" t="inlineStr">
        <is>
          <t>□　訓練機関から「事業所別・氏名別・講座別・標準学習時間つき」の進捗表を月次でもらっている</t>
        </is>
      </c>
      <c r="B45" s="16" t="n"/>
      <c r="C45" s="16" t="n"/>
      <c r="D45" s="16" t="n"/>
      <c r="E45" s="16" t="n"/>
      <c r="F45" s="16" t="n"/>
      <c r="G45" s="16" t="n"/>
      <c r="H45" s="16" t="n"/>
      <c r="I45" s="16" t="n"/>
    </row>
    <row r="46" ht="18" customHeight="1">
      <c r="A46" s="20" t="inlineStr">
        <is>
          <t>□　受講させる講座を業務命令として具体的に指定し、その記録を残している（趣味・教養の講座を除く）</t>
        </is>
      </c>
      <c r="B46" s="16" t="n"/>
      <c r="C46" s="16" t="n"/>
      <c r="D46" s="16" t="n"/>
      <c r="E46" s="16" t="n"/>
      <c r="F46" s="16" t="n"/>
      <c r="G46" s="16" t="n"/>
      <c r="H46" s="16" t="n"/>
      <c r="I46" s="16" t="n"/>
    </row>
    <row r="47" ht="18" customHeight="1">
      <c r="A47" s="20" t="inlineStr">
        <is>
          <t>□　出勤簿・賃金台帳を整備している（支給申請での提出は不要でも、抜き打ち調査で必ず見られます）</t>
        </is>
      </c>
      <c r="B47" s="16" t="n"/>
      <c r="C47" s="16" t="n"/>
      <c r="D47" s="16" t="n"/>
      <c r="E47" s="16" t="n"/>
      <c r="F47" s="16" t="n"/>
      <c r="G47" s="16" t="n"/>
      <c r="H47" s="16" t="n"/>
      <c r="I47" s="16" t="n"/>
    </row>
    <row r="48" ht="18" customHeight="1">
      <c r="A48" s="20" t="inlineStr">
        <is>
          <t>□　10時間未満になりそうな受講者を把握し、受講を促している</t>
        </is>
      </c>
      <c r="B48" s="16" t="n"/>
      <c r="C48" s="16" t="n"/>
      <c r="D48" s="16" t="n"/>
      <c r="E48" s="16" t="n"/>
      <c r="F48" s="16" t="n"/>
      <c r="G48" s="16" t="n"/>
      <c r="H48" s="16" t="n"/>
      <c r="I48" s="16" t="n"/>
    </row>
    <row r="49" ht="18" customHeight="1">
      <c r="A49" s="20" t="inlineStr">
        <is>
          <t>□　受講者が所定労働時間内に受講していることを確認している</t>
        </is>
      </c>
      <c r="B49" s="16" t="n"/>
      <c r="C49" s="16" t="n"/>
      <c r="D49" s="16" t="n"/>
      <c r="E49" s="16" t="n"/>
      <c r="F49" s="16" t="n"/>
      <c r="G49" s="16" t="n"/>
      <c r="H49" s="16" t="n"/>
      <c r="I49" s="16" t="n"/>
    </row>
    <row r="50" ht="18" customHeight="1">
      <c r="A50" s="20" t="inlineStr">
        <is>
          <t>□　賃金が適正に支払われていることを確認している</t>
        </is>
      </c>
      <c r="B50" s="16" t="n"/>
      <c r="C50" s="16" t="n"/>
      <c r="D50" s="16" t="n"/>
      <c r="E50" s="16" t="n"/>
      <c r="F50" s="16" t="n"/>
      <c r="G50" s="16" t="n"/>
      <c r="H50" s="16" t="n"/>
      <c r="I50" s="16" t="n"/>
    </row>
    <row r="51" ht="18" customHeight="1">
      <c r="A51" s="20" t="inlineStr">
        <is>
          <t>□　計画を変更する必要が生じた場合、変更届を提出した（期限内）</t>
        </is>
      </c>
      <c r="B51" s="16" t="n"/>
      <c r="C51" s="16" t="n"/>
      <c r="D51" s="16" t="n"/>
      <c r="E51" s="16" t="n"/>
      <c r="F51" s="16" t="n"/>
      <c r="G51" s="16" t="n"/>
      <c r="H51" s="16" t="n"/>
      <c r="I51" s="16" t="n"/>
    </row>
    <row r="52" ht="20" customHeight="1">
      <c r="A52" s="27" t="inlineStr">
        <is>
          <t>PHASE 4　支給申請の準備（訓練終了の1か月前から）</t>
        </is>
      </c>
      <c r="B52" s="28" t="n"/>
      <c r="C52" s="28" t="n"/>
      <c r="D52" s="28" t="n"/>
      <c r="E52" s="28" t="n"/>
      <c r="F52" s="28" t="n"/>
      <c r="G52" s="28" t="n"/>
      <c r="H52" s="28" t="n"/>
      <c r="I52" s="28" t="n"/>
    </row>
    <row r="53" ht="18" customHeight="1">
      <c r="A53" s="20" t="inlineStr">
        <is>
          <t>□　各社に出勤簿・賃金台帳の準備を依頼した</t>
        </is>
      </c>
      <c r="B53" s="16" t="n"/>
      <c r="C53" s="16" t="n"/>
      <c r="D53" s="16" t="n"/>
      <c r="E53" s="16" t="n"/>
      <c r="F53" s="16" t="n"/>
      <c r="G53" s="16" t="n"/>
      <c r="H53" s="16" t="n"/>
      <c r="I53" s="16" t="n"/>
    </row>
    <row r="54" ht="18" customHeight="1">
      <c r="A54" s="20" t="inlineStr">
        <is>
          <t>□　訓練機関に修了証明・受講時間一覧表の発行を依頼した</t>
        </is>
      </c>
      <c r="B54" s="16" t="n"/>
      <c r="C54" s="16" t="n"/>
      <c r="D54" s="16" t="n"/>
      <c r="E54" s="16" t="n"/>
      <c r="F54" s="16" t="n"/>
      <c r="G54" s="16" t="n"/>
      <c r="H54" s="16" t="n"/>
      <c r="I54" s="16" t="n"/>
    </row>
    <row r="55" ht="18" customHeight="1">
      <c r="A55" s="20" t="inlineStr">
        <is>
          <t>□　訓練機関に様式第12号「支給申請承諾書」の記載・捺印を依頼した</t>
        </is>
      </c>
      <c r="B55" s="16" t="n"/>
      <c r="C55" s="16" t="n"/>
      <c r="D55" s="16" t="n"/>
      <c r="E55" s="16" t="n"/>
      <c r="F55" s="16" t="n"/>
      <c r="G55" s="16" t="n"/>
      <c r="H55" s="16" t="n"/>
      <c r="I55" s="16" t="n"/>
    </row>
    <row r="56" ht="18" customHeight="1">
      <c r="A56" s="20" t="inlineStr">
        <is>
          <t>□　受講料の領収書・振込明細を経理部門から入手した</t>
        </is>
      </c>
      <c r="B56" s="16" t="n"/>
      <c r="C56" s="16" t="n"/>
      <c r="D56" s="16" t="n"/>
      <c r="E56" s="16" t="n"/>
      <c r="F56" s="16" t="n"/>
      <c r="G56" s="16" t="n"/>
      <c r="H56" s="16" t="n"/>
      <c r="I56" s="16" t="n"/>
    </row>
    <row r="57" ht="18" customHeight="1">
      <c r="A57" s="20" t="inlineStr">
        <is>
          <t>□　雇用保険被保険者証の写しを各社から入手した</t>
        </is>
      </c>
      <c r="B57" s="16" t="n"/>
      <c r="C57" s="16" t="n"/>
      <c r="D57" s="16" t="n"/>
      <c r="E57" s="16" t="n"/>
      <c r="F57" s="16" t="n"/>
      <c r="G57" s="16" t="n"/>
      <c r="H57" s="16" t="n"/>
      <c r="I57" s="16" t="n"/>
    </row>
    <row r="58" ht="20" customHeight="1">
      <c r="A58" s="27" t="inlineStr">
        <is>
          <t>PHASE 5　支給申請の提出（訓練終了日の翌日から2か月以内）</t>
        </is>
      </c>
      <c r="B58" s="28" t="n"/>
      <c r="C58" s="28" t="n"/>
      <c r="D58" s="28" t="n"/>
      <c r="E58" s="28" t="n"/>
      <c r="F58" s="28" t="n"/>
      <c r="G58" s="28" t="n"/>
      <c r="H58" s="28" t="n"/>
      <c r="I58" s="28" t="n"/>
    </row>
    <row r="59" ht="18" customHeight="1">
      <c r="A59" s="20" t="inlineStr">
        <is>
          <t>□　全対象労働者の修了時間が10時間以上であることを確認した</t>
        </is>
      </c>
      <c r="B59" s="16" t="n"/>
      <c r="C59" s="16" t="n"/>
      <c r="D59" s="16" t="n"/>
      <c r="E59" s="16" t="n"/>
      <c r="F59" s="16" t="n"/>
      <c r="G59" s="16" t="n"/>
      <c r="H59" s="16" t="n"/>
      <c r="I59" s="16" t="n"/>
    </row>
    <row r="60" ht="18" customHeight="1">
      <c r="A60" s="20" t="inlineStr">
        <is>
          <t>□　様式第4-2号「支給申請書」を作成した</t>
        </is>
      </c>
      <c r="B60" s="16" t="n"/>
      <c r="C60" s="16" t="n"/>
      <c r="D60" s="16" t="n"/>
      <c r="E60" s="16" t="n"/>
      <c r="F60" s="16" t="n"/>
      <c r="G60" s="16" t="n"/>
      <c r="H60" s="16" t="n"/>
      <c r="I60" s="16" t="n"/>
    </row>
    <row r="61" ht="18" customHeight="1">
      <c r="A61" s="20" t="inlineStr">
        <is>
          <t>□　様式第8-5号「訓練実施結果報告書（定額制サービス）」を作成した</t>
        </is>
      </c>
      <c r="B61" s="16" t="n"/>
      <c r="C61" s="16" t="n"/>
      <c r="D61" s="16" t="n"/>
      <c r="E61" s="16" t="n"/>
      <c r="F61" s="16" t="n"/>
      <c r="G61" s="16" t="n"/>
      <c r="H61" s="16" t="n"/>
      <c r="I61" s="16" t="n"/>
    </row>
    <row r="62" ht="18" customHeight="1">
      <c r="A62" s="20" t="inlineStr">
        <is>
          <t>□　様式第12号「支給申請承諾書（訓練実施者）」を訓練機関から受領した</t>
        </is>
      </c>
      <c r="B62" s="16" t="n"/>
      <c r="C62" s="16" t="n"/>
      <c r="D62" s="16" t="n"/>
      <c r="E62" s="16" t="n"/>
      <c r="F62" s="16" t="n"/>
      <c r="G62" s="16" t="n"/>
      <c r="H62" s="16" t="n"/>
      <c r="I62" s="16" t="n"/>
    </row>
    <row r="63" ht="18" customHeight="1">
      <c r="A63" s="20" t="inlineStr">
        <is>
          <t>□　支給要件確認申立書（共通要領様式第1号）を作成した</t>
        </is>
      </c>
      <c r="B63" s="16" t="n"/>
      <c r="C63" s="16" t="n"/>
      <c r="D63" s="16" t="n"/>
      <c r="E63" s="16" t="n"/>
      <c r="F63" s="16" t="n"/>
      <c r="G63" s="16" t="n"/>
      <c r="H63" s="16" t="n"/>
      <c r="I63" s="16" t="n"/>
    </row>
    <row r="64" ht="18" customHeight="1">
      <c r="A64" s="20" t="inlineStr">
        <is>
          <t>□　様式第6-3号「経費助成の内訳（定額制サービス）」を作成した</t>
        </is>
      </c>
      <c r="B64" s="16" t="n"/>
      <c r="C64" s="16" t="n"/>
      <c r="D64" s="16" t="n"/>
      <c r="E64" s="16" t="n"/>
      <c r="F64" s="16" t="n"/>
      <c r="G64" s="16" t="n"/>
      <c r="H64" s="16" t="n"/>
      <c r="I64" s="16" t="n"/>
    </row>
    <row r="65" ht="18" customHeight="1">
      <c r="A65" s="20" t="inlineStr">
        <is>
          <t>□　全書類の記載内容を最終確認した（差し替え・訂正は原則できません）</t>
        </is>
      </c>
      <c r="B65" s="16" t="n"/>
      <c r="C65" s="16" t="n"/>
      <c r="D65" s="16" t="n"/>
      <c r="E65" s="16" t="n"/>
      <c r="F65" s="16" t="n"/>
      <c r="G65" s="16" t="n"/>
      <c r="H65" s="16" t="n"/>
      <c r="I65" s="16" t="n"/>
    </row>
    <row r="66" ht="18" customHeight="1">
      <c r="A66" s="20" t="inlineStr">
        <is>
          <t>□　管轄労働局へ支給申請書類一式を提出した</t>
        </is>
      </c>
      <c r="B66" s="16" t="n"/>
      <c r="C66" s="16" t="n"/>
      <c r="D66" s="16" t="n"/>
      <c r="E66" s="16" t="n"/>
      <c r="F66" s="16" t="n"/>
      <c r="G66" s="16" t="n"/>
      <c r="H66" s="16" t="n"/>
      <c r="I66" s="16" t="n"/>
    </row>
    <row r="67" ht="18" customHeight="1">
      <c r="A67" s="20" t="inlineStr">
        <is>
          <t>□　支給申請書類の写しを保管した</t>
        </is>
      </c>
      <c r="B67" s="16" t="n"/>
      <c r="C67" s="16" t="n"/>
      <c r="D67" s="16" t="n"/>
      <c r="E67" s="16" t="n"/>
      <c r="F67" s="16" t="n"/>
      <c r="G67" s="16" t="n"/>
      <c r="H67" s="16" t="n"/>
      <c r="I67" s="16" t="n"/>
    </row>
    <row r="68" ht="20" customHeight="1">
      <c r="A68" s="27" t="inlineStr">
        <is>
          <t>PHASE 6　支給決定後の管理（5年間）</t>
        </is>
      </c>
      <c r="B68" s="28" t="n"/>
      <c r="C68" s="28" t="n"/>
      <c r="D68" s="28" t="n"/>
      <c r="E68" s="28" t="n"/>
      <c r="F68" s="28" t="n"/>
      <c r="G68" s="28" t="n"/>
      <c r="H68" s="28" t="n"/>
      <c r="I68" s="28" t="n"/>
    </row>
    <row r="69" ht="18" customHeight="1">
      <c r="A69" s="20" t="inlineStr">
        <is>
          <t>□　支給決定通知書を受領・保管した</t>
        </is>
      </c>
      <c r="B69" s="16" t="n"/>
      <c r="C69" s="16" t="n"/>
      <c r="D69" s="16" t="n"/>
      <c r="E69" s="16" t="n"/>
      <c r="F69" s="16" t="n"/>
      <c r="G69" s="16" t="n"/>
      <c r="H69" s="16" t="n"/>
      <c r="I69" s="16" t="n"/>
    </row>
    <row r="70" ht="18" customHeight="1">
      <c r="A70" s="20" t="inlineStr">
        <is>
          <t>□　顧問税理士に助成金をどの事業年度の収入に立てるかを確認した（各社で決算期が違うため会社ごとに異なります）</t>
        </is>
      </c>
      <c r="B70" s="16" t="n"/>
      <c r="C70" s="16" t="n"/>
      <c r="D70" s="16" t="n"/>
      <c r="E70" s="16" t="n"/>
      <c r="F70" s="16" t="n"/>
      <c r="G70" s="16" t="n"/>
      <c r="H70" s="16" t="n"/>
      <c r="I70" s="16" t="n"/>
    </row>
    <row r="71" ht="18" customHeight="1">
      <c r="A71" s="20" t="inlineStr">
        <is>
          <t>□　全書類を5年間保管する体制を整えた（税務の帳簿書類は7年・赤字の年度は10年。5年で捨てないこと）</t>
        </is>
      </c>
      <c r="B71" s="16" t="n"/>
      <c r="C71" s="16" t="n"/>
      <c r="D71" s="16" t="n"/>
      <c r="E71" s="16" t="n"/>
      <c r="F71" s="16" t="n"/>
      <c r="G71" s="16" t="n"/>
      <c r="H71" s="16" t="n"/>
      <c r="I71" s="16" t="n"/>
    </row>
    <row r="72" ht="18" customHeight="1">
      <c r="A72" s="20" t="inlineStr">
        <is>
          <t>□　受講料の請求書・領収書を電子で受け取っている場合、データのまま保存している（印刷だけでは不可）</t>
        </is>
      </c>
      <c r="B72" s="16" t="n"/>
      <c r="C72" s="16" t="n"/>
      <c r="D72" s="16" t="n"/>
      <c r="E72" s="16" t="n"/>
      <c r="F72" s="16" t="n"/>
      <c r="G72" s="16" t="n"/>
      <c r="H72" s="16" t="n"/>
      <c r="I72" s="16" t="n"/>
    </row>
    <row r="73" ht="18" customHeight="1">
      <c r="A73" s="20" t="inlineStr">
        <is>
          <t>□　会計検査院等の調査があった場合に協力できる状態にある</t>
        </is>
      </c>
      <c r="B73" s="16" t="n"/>
      <c r="C73" s="16" t="n"/>
      <c r="D73" s="16" t="n"/>
      <c r="E73" s="16" t="n"/>
      <c r="F73" s="16" t="n"/>
      <c r="G73" s="16" t="n"/>
      <c r="H73" s="16" t="n"/>
      <c r="I73" s="16" t="n"/>
    </row>
    <row r="75">
      <c r="A75" s="18" t="inlineStr">
        <is>
          <t>※ このシートは各社の申請ごとに1列使います。印刷して紙で回しても構いません。</t>
        </is>
      </c>
    </row>
  </sheetData>
  <conditionalFormatting sqref="B5:I73">
    <cfRule type="expression" priority="1" dxfId="3">
      <formula>B5&lt;&gt;""</formula>
    </cfRule>
  </conditionalFormatting>
  <dataValidations count="1">
    <dataValidation sqref="B5:I73" showDropDown="0" showInputMessage="0" showErrorMessage="0" allowBlank="1" type="list">
      <formula1>"レ,"</formula1>
    </dataValidation>
  </dataValidations>
  <pageMargins left="0.75" right="0.75" top="1" bottom="1" header="0.5" footer="0.5"/>
  <pageSetup orientation="portrait" fitToWidth="1"/>
</worksheet>
</file>

<file path=xl/worksheets/sheet5.xml><?xml version="1.0" encoding="utf-8"?>
<worksheet xmlns="http://schemas.openxmlformats.org/spreadsheetml/2006/main">
  <sheetPr>
    <outlinePr summaryBelow="1" summaryRight="1"/>
    <pageSetUpPr fitToPage="1"/>
  </sheetPr>
  <dimension ref="B2:C23"/>
  <sheetViews>
    <sheetView showGridLines="0" workbookViewId="0">
      <selection activeCell="A1" sqref="A1"/>
    </sheetView>
  </sheetViews>
  <sheetFormatPr baseColWidth="8" defaultRowHeight="15"/>
  <cols>
    <col width="3" customWidth="1" min="1" max="1"/>
    <col width="30" customWidth="1" min="2" max="2"/>
    <col width="74" customWidth="1" min="3" max="3"/>
  </cols>
  <sheetData>
    <row r="2">
      <c r="B2" s="1" t="inlineStr">
        <is>
          <t>不正受給になる行為（絶対にやってはいけません）</t>
        </is>
      </c>
    </row>
    <row r="4">
      <c r="B4" s="5" t="inlineStr">
        <is>
          <t>×　訓練機関からの返金・キャッシュバックを受け取る</t>
        </is>
      </c>
      <c r="C4" s="3" t="inlineStr">
        <is>
          <t>名目を問わず不正受給になります。</t>
        </is>
      </c>
    </row>
    <row r="5">
      <c r="B5" s="5" t="inlineStr">
        <is>
          <t>×　実際には訓練していないのに、行ったように書類を作る</t>
        </is>
      </c>
      <c r="C5" s="3" t="inlineStr">
        <is>
          <t>出勤簿・賃金台帳・PCログイン記録の照合を求められることがあります。</t>
        </is>
      </c>
    </row>
    <row r="6">
      <c r="B6" s="5" t="inlineStr">
        <is>
          <t>×　届け出ていない労働者の受講時間を計上する</t>
        </is>
      </c>
      <c r="C6" s="3" t="inlineStr">
        <is>
          <t>計画届（様式第3-2号）に書いていない人の時間は入れられません。</t>
        </is>
      </c>
    </row>
    <row r="7">
      <c r="B7" s="5" t="inlineStr">
        <is>
          <t>×　同一事業所で同じ定額制サービスを重複申請する</t>
        </is>
      </c>
      <c r="C7" s="3" t="inlineStr">
        <is>
          <t>グループ内で申請が重なっていないか、必ず突き合わせてください。</t>
        </is>
      </c>
    </row>
    <row r="8">
      <c r="B8" s="5" t="inlineStr">
        <is>
          <t>×　受講料を受講者本人に負担させる</t>
        </is>
      </c>
      <c r="C8" s="3" t="inlineStr">
        <is>
          <t>後から会社が返金しても認められません。会社が全額負担してください。</t>
        </is>
      </c>
    </row>
    <row r="10">
      <c r="B10" s="29" t="inlineStr">
        <is>
          <t>見つかった場合</t>
        </is>
      </c>
      <c r="C10" s="5" t="inlineStr">
        <is>
          <t>受給額の全額返還＋延滞金＋違約金（返還額の2割に相当する額）＋事業主名・代表者名・役員名等の公表。最悪の場合は刑事告訴の対象になります。さらに、不正受給の決定日から5年間、この助成金に限らず雇用関係助成金の全般が受給できなくなります（全額返納していない場合はさらに延長）。グループの1社の不正が、その会社のキャリアアップ助成金なども5年間止めます。※延滞金の率は資料に「3%」とありますが、点検で「年5%」とする情報も出たため、率は労働局に確認してください。</t>
        </is>
      </c>
    </row>
    <row r="12">
      <c r="B12" s="1" t="inlineStr">
        <is>
          <t>よくある申請ミス</t>
        </is>
      </c>
    </row>
    <row r="14">
      <c r="B14" s="2" t="inlineStr">
        <is>
          <t>・計画届の提出期限を間違える</t>
        </is>
      </c>
      <c r="C14" s="3" t="inlineStr">
        <is>
          <t>「訓練開始日の6か月前〜1か月前」は通学制の場合。定額制サービスは「契約開始日の1か月前まで」です。</t>
        </is>
      </c>
    </row>
    <row r="15">
      <c r="B15" s="2" t="inlineStr">
        <is>
          <t>・受講予定者の届出漏れ</t>
        </is>
      </c>
      <c r="C15" s="3" t="inlineStr">
        <is>
          <t>様式第3-2号に書いていない人は後から追加できません。受講させる予定の全員を最初に届け出てください。</t>
        </is>
      </c>
    </row>
    <row r="16">
      <c r="B16" s="2" t="inlineStr">
        <is>
          <t>・10時間要件を確認しないまま終わる</t>
        </is>
      </c>
      <c r="C16" s="3" t="inlineStr">
        <is>
          <t>訓練が終わってから10時間未満と分かっても対象外です。定期的に受講状況を確認してください。</t>
        </is>
      </c>
    </row>
    <row r="17">
      <c r="B17" s="2" t="inlineStr">
        <is>
          <t>・訓練機関の承諾書をもらい忘れる</t>
        </is>
      </c>
      <c r="C17" s="3" t="inlineStr">
        <is>
          <t>様式第12号は訓練機関の承諾が必要です。直前に頼むと間に合わないことがあります。</t>
        </is>
      </c>
    </row>
    <row r="18">
      <c r="B18" s="2" t="inlineStr">
        <is>
          <t>・支給申請期限を過ぎる</t>
        </is>
      </c>
      <c r="C18" s="3" t="inlineStr">
        <is>
          <t>訓練終了日の翌日から2か月以内。複数社を見ているときは、各社の訓練終了日を一覧で管理してください。</t>
        </is>
      </c>
    </row>
    <row r="19">
      <c r="B19" s="2" t="inlineStr">
        <is>
          <t>・提出後に書類を直そうとする</t>
        </is>
      </c>
      <c r="C19" s="3" t="inlineStr">
        <is>
          <t>一度出した書類の差し替え・訂正は原則できません。出す前に確認してください。</t>
        </is>
      </c>
    </row>
    <row r="20">
      <c r="B20" s="2" t="inlineStr">
        <is>
          <t>・労働保険料の未納</t>
        </is>
      </c>
      <c r="C20" s="3" t="inlineStr">
        <is>
          <t>支給申請年度の前年度以前に未納があると受給できません。各社の納付状況を確認してください。</t>
        </is>
      </c>
    </row>
    <row r="23">
      <c r="B23" s="29" t="inlineStr">
        <is>
          <t>この資料について</t>
        </is>
      </c>
      <c r="C23" s="30" t="inlineStr">
        <is>
          <t>紙資料（自称根拠＝厚労省 詳細パンフレット・支給要項 R8.5.14版）を2026年9月15日に読み取って作成。厚労省の一次情報とは未突合です。より新しい「令和8年8月3日改正版」が存在する可能性があります。提出前に必ず管轄の都道府県労働局またはハローワークで最新版を確認してください。</t>
        </is>
      </c>
    </row>
  </sheetData>
  <pageMargins left="0.75" right="0.75" top="1" bottom="1" header="0.5" footer="0.5"/>
  <pageSetup orientation="portrait" fitToWidth="1"/>
</worksheet>
</file>

<file path=xl/worksheets/sheet6.xml><?xml version="1.0" encoding="utf-8"?>
<worksheet xmlns="http://schemas.openxmlformats.org/spreadsheetml/2006/main">
  <sheetPr>
    <outlinePr summaryBelow="1" summaryRight="1"/>
    <pageSetUpPr fitToPage="1"/>
  </sheetPr>
  <dimension ref="A1:J16"/>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46"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ht="22" customHeight="1">
      <c r="A1" s="1" t="inlineStr">
        <is>
          <t>事前スクリーニング　　計画届を出す前に、各社にこの質問を当ててください</t>
        </is>
      </c>
    </row>
    <row r="2" ht="34" customHeight="1">
      <c r="A2" s="6" t="inlineStr">
        <is>
          <t>確認すること</t>
        </is>
      </c>
      <c r="B2" s="6" t="inlineStr">
        <is>
          <t>なぜ必要か</t>
        </is>
      </c>
      <c r="C2" s="24">
        <f>IF(期限一覧!A3="","（会社1）",期限一覧!A3)</f>
        <v/>
      </c>
      <c r="D2" s="24">
        <f>IF(期限一覧!A4="","（会社2）",期限一覧!A4)</f>
        <v/>
      </c>
      <c r="E2" s="24">
        <f>IF(期限一覧!A5="","（会社3）",期限一覧!A5)</f>
        <v/>
      </c>
      <c r="F2" s="24">
        <f>IF(期限一覧!A6="","（会社4）",期限一覧!A6)</f>
        <v/>
      </c>
      <c r="G2" s="24">
        <f>IF(期限一覧!A7="","（会社5）",期限一覧!A7)</f>
        <v/>
      </c>
      <c r="H2" s="24">
        <f>IF(期限一覧!A8="","（会社6）",期限一覧!A8)</f>
        <v/>
      </c>
      <c r="I2" s="24">
        <f>IF(期限一覧!A9="","（会社7）",期限一覧!A9)</f>
        <v/>
      </c>
      <c r="J2" s="24">
        <f>IF(期限一覧!A10="","（会社8）",期限一覧!A10)</f>
        <v/>
      </c>
    </row>
    <row r="3" ht="34" customHeight="1">
      <c r="A3" s="20" t="inlineStr">
        <is>
          <t>支給申請日の前日から1年前までの間に、労働関係法令の違反がありませんか</t>
        </is>
      </c>
      <c r="B3" s="31" t="inlineStr">
        <is>
          <t>労基署の是正勧告・指導を受けていると不支給になります。計画届が通っても支給申請で落ちます。</t>
        </is>
      </c>
      <c r="C3" s="16" t="n"/>
      <c r="D3" s="16" t="n"/>
      <c r="E3" s="16" t="n"/>
      <c r="F3" s="16" t="n"/>
      <c r="G3" s="16" t="n"/>
      <c r="H3" s="16" t="n"/>
      <c r="I3" s="16" t="n"/>
      <c r="J3" s="16" t="n"/>
    </row>
    <row r="4" ht="34" customHeight="1">
      <c r="A4" s="20" t="inlineStr">
        <is>
          <t>過去に雇用関係助成金の不正受給をしていませんか</t>
        </is>
      </c>
      <c r="B4" s="31" t="inlineStr">
        <is>
          <t>不正受給の決定日から5年間、雇用関係助成金の全般が受給できません。</t>
        </is>
      </c>
      <c r="C4" s="16" t="n"/>
      <c r="D4" s="16" t="n"/>
      <c r="E4" s="16" t="n"/>
      <c r="F4" s="16" t="n"/>
      <c r="G4" s="16" t="n"/>
      <c r="H4" s="16" t="n"/>
      <c r="I4" s="16" t="n"/>
      <c r="J4" s="16" t="n"/>
    </row>
    <row r="5" ht="34" customHeight="1">
      <c r="A5" s="20" t="inlineStr">
        <is>
          <t>労働保険料の未納がありませんか</t>
        </is>
      </c>
      <c r="B5" s="31" t="inlineStr">
        <is>
          <t>判定は「支給申請日の属する年度の前年度より前」の保険年度とされます。表現に幅があるため労働局に確認してください。</t>
        </is>
      </c>
      <c r="C5" s="16" t="n"/>
      <c r="D5" s="16" t="n"/>
      <c r="E5" s="16" t="n"/>
      <c r="F5" s="16" t="n"/>
      <c r="G5" s="16" t="n"/>
      <c r="H5" s="16" t="n"/>
      <c r="I5" s="16" t="n"/>
      <c r="J5" s="16" t="n"/>
    </row>
    <row r="6" ht="34" customHeight="1">
      <c r="A6" s="20" t="inlineStr">
        <is>
          <t>性風俗関連営業・接待を伴う飲食等営業、またはその一部を受託する営業ではありませんか</t>
        </is>
      </c>
      <c r="B6" s="31" t="inlineStr">
        <is>
          <t>判定は業種コードではなく実態です。</t>
        </is>
      </c>
      <c r="C6" s="16" t="n"/>
      <c r="D6" s="16" t="n"/>
      <c r="E6" s="16" t="n"/>
      <c r="F6" s="16" t="n"/>
      <c r="G6" s="16" t="n"/>
      <c r="H6" s="16" t="n"/>
      <c r="I6" s="16" t="n"/>
      <c r="J6" s="16" t="n"/>
    </row>
    <row r="7" ht="34" customHeight="1">
      <c r="A7" s="20" t="inlineStr">
        <is>
          <t>事業主または役員等が暴力団と関わりを持っていませんか</t>
        </is>
      </c>
      <c r="B7" s="31" t="inlineStr">
        <is>
          <t>役員名簿をもとに確認します。</t>
        </is>
      </c>
      <c r="C7" s="16" t="n"/>
      <c r="D7" s="16" t="n"/>
      <c r="E7" s="16" t="n"/>
      <c r="F7" s="16" t="n"/>
      <c r="G7" s="16" t="n"/>
      <c r="H7" s="16" t="n"/>
      <c r="I7" s="16" t="n"/>
      <c r="J7" s="16" t="n"/>
    </row>
    <row r="8" ht="34" customHeight="1">
      <c r="A8" s="20" t="inlineStr">
        <is>
          <t>事業主都合の解雇をしていませんか</t>
        </is>
      </c>
      <c r="B8" s="31" t="inlineStr">
        <is>
          <t>コースによって要件の有無が異なります。本コースに課されるかは労働局に確認してください。※要確認</t>
        </is>
      </c>
      <c r="C8" s="16" t="n"/>
      <c r="D8" s="16" t="n"/>
      <c r="E8" s="16" t="n"/>
      <c r="F8" s="16" t="n"/>
      <c r="G8" s="16" t="n"/>
      <c r="H8" s="16" t="n"/>
      <c r="I8" s="16" t="n"/>
      <c r="J8" s="16" t="n"/>
    </row>
    <row r="9" ht="34" customHeight="1">
      <c r="A9" s="20" t="inlineStr">
        <is>
          <t>企業全体（事業所単位ではなく企業単位）で中小企業に当たりますか</t>
        </is>
      </c>
      <c r="B9" s="31" t="inlineStr">
        <is>
          <t>資本金「または」労働者数のどちらかを満たせば中小です。両方必要ではありません。判定業種は登記の目的ではなく主たる事業の実態で見ます。</t>
        </is>
      </c>
      <c r="C9" s="16" t="n"/>
      <c r="D9" s="16" t="n"/>
      <c r="E9" s="16" t="n"/>
      <c r="F9" s="16" t="n"/>
      <c r="G9" s="16" t="n"/>
      <c r="H9" s="16" t="n"/>
      <c r="I9" s="16" t="n"/>
      <c r="J9" s="16" t="n"/>
    </row>
    <row r="10" ht="34" customHeight="1">
      <c r="A10" s="20" t="inlineStr">
        <is>
          <t>職業能力開発推進者を選任し、事業内職業能力開発計画を全従業員に周知していますか</t>
        </is>
      </c>
      <c r="B10" s="31" t="inlineStr">
        <is>
          <t>周知の記録（掲示・配布・イントラ掲載等）を残してください。</t>
        </is>
      </c>
      <c r="C10" s="16" t="n"/>
      <c r="D10" s="16" t="n"/>
      <c r="E10" s="16" t="n"/>
      <c r="F10" s="16" t="n"/>
      <c r="G10" s="16" t="n"/>
      <c r="H10" s="16" t="n"/>
      <c r="I10" s="16" t="n"/>
      <c r="J10" s="16" t="n"/>
    </row>
    <row r="11" ht="34" customHeight="1">
      <c r="A11" s="20" t="inlineStr">
        <is>
          <t>定額制サービスを各社がそれぞれ契約し、各社の口座から支払っていますか</t>
        </is>
      </c>
      <c r="B11" s="31" t="inlineStr">
        <is>
          <t>親会社の一括契約だと、子会社が自社の支払を証明できず対象外になるおそれがあります。</t>
        </is>
      </c>
      <c r="C11" s="16" t="n"/>
      <c r="D11" s="16" t="n"/>
      <c r="E11" s="16" t="n"/>
      <c r="F11" s="16" t="n"/>
      <c r="G11" s="16" t="n"/>
      <c r="H11" s="16" t="n"/>
      <c r="I11" s="16" t="n"/>
      <c r="J11" s="16" t="n"/>
    </row>
    <row r="12" ht="34" customHeight="1">
      <c r="A12" s="20" t="inlineStr">
        <is>
          <t>定額制サービスのアカウントが雇用保険適用事業所ごとに分かれていますか</t>
        </is>
      </c>
      <c r="B12" s="31" t="inlineStr">
        <is>
          <t>訓練機関が発行する「10時間以上の者の一覧表」は雇用保険適用事業所ごとに作られる必要があります。契約時点で決まるため、後から直せません。</t>
        </is>
      </c>
      <c r="C12" s="16" t="n"/>
      <c r="D12" s="16" t="n"/>
      <c r="E12" s="16" t="n"/>
      <c r="F12" s="16" t="n"/>
      <c r="G12" s="16" t="n"/>
      <c r="H12" s="16" t="n"/>
      <c r="I12" s="16" t="n"/>
      <c r="J12" s="16" t="n"/>
    </row>
    <row r="13" ht="34" customHeight="1">
      <c r="A13" s="20" t="inlineStr">
        <is>
          <t>対象外講座（趣味・教養等）の割合を訓練機関に確認しましたか</t>
        </is>
      </c>
      <c r="B13" s="31" t="inlineStr">
        <is>
          <t>全講座数に占める割合で判定します。ちょうど5割のときの扱いが資料と官の表現で逆になるため、境界線上なら労働局に確認してください。</t>
        </is>
      </c>
      <c r="C13" s="16" t="n"/>
      <c r="D13" s="16" t="n"/>
      <c r="E13" s="16" t="n"/>
      <c r="F13" s="16" t="n"/>
      <c r="G13" s="16" t="n"/>
      <c r="H13" s="16" t="n"/>
      <c r="I13" s="16" t="n"/>
      <c r="J13" s="16" t="n"/>
    </row>
    <row r="15">
      <c r="A15" s="4" t="inlineStr">
        <is>
          <t>※ 1つでも NG があると、計画届が通っても支給申請の段階で不支給になります。</t>
        </is>
      </c>
    </row>
    <row r="16">
      <c r="A16" s="18" t="inlineStr">
        <is>
          <t>※ この一覧は「支給要件確認申立書（共通要領様式第1号）」で申し立てる内容をもとにしています。実際の様式を見ながら各社に当ててください。</t>
        </is>
      </c>
    </row>
  </sheetData>
  <conditionalFormatting sqref="C3:J13">
    <cfRule type="cellIs" priority="1" operator="equal" dxfId="1">
      <formula>"NG"</formula>
    </cfRule>
    <cfRule type="cellIs" priority="2" operator="equal" dxfId="4">
      <formula>"OK"</formula>
    </cfRule>
  </conditionalFormatting>
  <dataValidations count="1">
    <dataValidation sqref="C3:J13" showDropDown="0" showInputMessage="0" showErrorMessage="0" allowBlank="1" type="list">
      <formula1>"OK,要確認,NG"</formula1>
    </dataValidation>
  </dataValidations>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B2:C16"/>
  <sheetViews>
    <sheetView showGridLines="0" workbookViewId="0">
      <selection activeCell="A1" sqref="A1"/>
    </sheetView>
  </sheetViews>
  <sheetFormatPr baseColWidth="8" defaultRowHeight="15"/>
  <cols>
    <col width="3" customWidth="1" min="1" max="1"/>
    <col width="30" customWidth="1" min="2" max="2"/>
    <col width="74" customWidth="1" min="3" max="3"/>
  </cols>
  <sheetData>
    <row r="2">
      <c r="B2" s="1" t="inlineStr">
        <is>
          <t>税務の注意 ─ 助成金は「もらって終わり」ではありません</t>
        </is>
      </c>
    </row>
    <row r="3">
      <c r="B3" s="5" t="inlineStr">
        <is>
          <t>※ 一般的な制度の説明です。個別の税額計算・申告判断は必ず各社の顧問税理士にご確認ください。この内容も一次情報（国税庁）とは未突合です。</t>
        </is>
      </c>
    </row>
    <row r="5">
      <c r="B5" s="2" t="inlineStr">
        <is>
          <t>助成金には税金がかかります</t>
        </is>
      </c>
      <c r="C5" s="3" t="inlineStr">
        <is>
          <t>「補助金だから非課税」は誤りです。本コースは経費助成のみで固定資産を買うための補助金ではないため、圧縮記帳（法人税法42条）による課税の繰り延べが使えません。受給額はそのまま課税所得を押し上げます。75%で受給しても、課税される分だけ手取りは下回ります。</t>
        </is>
      </c>
    </row>
    <row r="6">
      <c r="B6" s="2" t="inlineStr">
        <is>
          <t>「入金日に雑収入」で処理しないでください</t>
        </is>
      </c>
      <c r="C6" s="3" t="inlineStr">
        <is>
          <t>助成金は原則として支給決定があった事業年度の収益です。前期に支給決定・翌期に入金なら、前期に未収入金として計上します。さらに本コースは「事前に計画届を出す経費補填の助成金」なので、受講料が発生した事業年度に対応させる取扱い（法人税基本通達2-1-42）が適用される可能性があります。</t>
        </is>
      </c>
    </row>
    <row r="7">
      <c r="B7" s="2" t="inlineStr">
        <is>
          <t>各社の決算期はバラバラです</t>
        </is>
      </c>
      <c r="C7" s="3" t="inlineStr">
        <is>
          <t>同じ訓練・同じ支給決定日でも、会社ごとに計上すべき事業年度が変わります。全社まとめて同じ処理をしないでください。訓練終了から支給決定まで数か月かかるため、決算期をまたぐ場合は申告前に顧問税理士へ確認してください。</t>
        </is>
      </c>
    </row>
    <row r="8">
      <c r="B8" s="2" t="inlineStr">
        <is>
          <t>消費税：助成金は不課税です</t>
        </is>
      </c>
      <c r="C8" s="3" t="inlineStr">
        <is>
          <t>助成金の受取に消費税はかかりません。「雑収入」で入力するとき、会計ソフトの課税区分が課税売上のままになっていないか各社ごとに確認してください。誤ると納税額と課税売上割合が狂います。複数社をまとめて入力すると横並びで間違えます。</t>
        </is>
      </c>
    </row>
    <row r="9">
      <c r="B9" s="2" t="inlineStr">
        <is>
          <t>受講料の消費税は減らされません</t>
        </is>
      </c>
      <c r="C9" s="3" t="inlineStr">
        <is>
          <t>助成金を受けても、その助成金を充てた受講料の仕入税額控除は制限されません（「特定収入」の調整は公益法人等が対象で、普通の会社には適用されません）。ここは安心してよい部分です。</t>
        </is>
      </c>
    </row>
    <row r="10">
      <c r="B10" s="2" t="inlineStr">
        <is>
          <t>インボイス：訓練機関の登録番号を確認</t>
        </is>
      </c>
      <c r="C10" s="3" t="inlineStr">
        <is>
          <t>訓練機関が適格請求書発行事業者でない場合、受講料の消費税は全額控除できません。経過措置の控除割合が令和8年10月1日に切り替わります。契約書・請求書にTから始まる13桁の登録番号があるか、契約前に確認してください。各社が簡易課税・2割特例なら影響しません。</t>
        </is>
      </c>
    </row>
    <row r="11">
      <c r="B11" s="2" t="inlineStr">
        <is>
          <t>各社がそれぞれ契約し、自社の口座から払う</t>
        </is>
      </c>
      <c r="C11" s="3" t="inlineStr">
        <is>
          <t>親会社が一括契約して子会社に請求しないと、(a)子会社が自社負担を証明できず助成対象外になるおそれ (b)親会社で寄附金と認定され原則として損金にならない（100%グループでも解消しません）、の両方が起きます。子会社が仕入税額控除をするには子会社宛ての適格請求書（または立替金精算書＋写し）が必要です。</t>
        </is>
      </c>
    </row>
    <row r="12">
      <c r="B12" s="2" t="inlineStr">
        <is>
          <t>「会社が全額負担」は税務上も原則問題ありません</t>
        </is>
      </c>
      <c r="C12" s="3" t="inlineStr">
        <is>
          <t>業務遂行上の必要に基づき、職務に直接必要な知識・技能を習得させるための適正な額の費用であれば、給与として課税されません（所得税基本通達36-29の2）。業務命令として労働時間内に行い、通常の賃金を払っていること自体が、その証拠資料になります。</t>
        </is>
      </c>
    </row>
    <row r="13">
      <c r="B13" s="2" t="inlineStr">
        <is>
          <t>ただし趣味・教養の講座は別です</t>
        </is>
      </c>
      <c r="C13" s="3" t="inlineStr">
        <is>
          <t>定額制サービスには趣味・教養の講座が含まれます（助成金は5割未満なら可）。しかし税務は「職務に直接必要」を求めるため、趣味・教養講座の受講分は現物給与と評価される可能性があります。受講させる講座を業務命令で具体的に指定し、その記録を残してください。</t>
        </is>
      </c>
    </row>
    <row r="14">
      <c r="B14" s="2" t="inlineStr">
        <is>
          <t>年払いサブスクの一括損金は決め打ちしない</t>
        </is>
      </c>
      <c r="C14" s="3" t="inlineStr">
        <is>
          <t>短期前払費用の特例（法人税基本通達2-2-14）は「等質等量のサービスが継続的に提供される」ことが要件です。定額制eラーニングは月ごとに受講量が大きく変動する（10時間要件のため特定月に集中受講する）ため、当然に使えるとは限りません。グループで処理方針を統一してください（継続適用が要件です）。</t>
        </is>
      </c>
    </row>
    <row r="15">
      <c r="B15" s="2" t="inlineStr">
        <is>
          <t>保管：税務のほうが長い</t>
        </is>
      </c>
      <c r="C15" s="3" t="inlineStr">
        <is>
          <t>助成金は支給決定後5年ですが、法人税の帳簿書類は原則7年、赤字の事業年度は10年です。5年で捨てないでください。また受講料の請求書・領収書をメールやWebダウンロードで受け取る場合は電子取引に当たり、データのまま保存する義務があります（印刷しただけでは要件を満たしません）。</t>
        </is>
      </c>
    </row>
    <row r="16">
      <c r="B16" s="2" t="inlineStr">
        <is>
          <t>返還が生じた場合</t>
        </is>
      </c>
      <c r="C16" s="3" t="inlineStr">
        <is>
          <t>すでに収益計上した助成金をいつ戻すか（修正申告になるか）は個別判断です。また違約金や延滞金は損金にならない可能性があり、その場合の実質負担は返還額＋αより重くなります。返還が発生したらすぐ顧問税理士に相談してください。</t>
        </is>
      </c>
    </row>
  </sheetData>
  <mergeCells count="1">
    <mergeCell ref="B3:C3"/>
  </mergeCells>
  <pageMargins left="0.75" right="0.75" top="1" bottom="1" header="0.5" footer="0.5"/>
  <pageSetup orientation="portrait" fitToWidth="1"/>
</worksheet>
</file>

<file path=xl/worksheets/sheet8.xml><?xml version="1.0" encoding="utf-8"?>
<worksheet xmlns="http://schemas.openxmlformats.org/spreadsheetml/2006/main">
  <sheetPr>
    <outlinePr summaryBelow="1" summaryRight="1"/>
    <pageSetUpPr fitToPage="1"/>
  </sheetPr>
  <dimension ref="A1:F25"/>
  <sheetViews>
    <sheetView showGridLines="0" workbookViewId="0">
      <pane ySplit="2" topLeftCell="A3" activePane="bottomLeft" state="frozen"/>
      <selection pane="bottomLeft" activeCell="A1" sqref="A1"/>
    </sheetView>
  </sheetViews>
  <sheetFormatPr baseColWidth="8" defaultRowHeight="15"/>
  <cols>
    <col width="6" customWidth="1" min="1" max="1"/>
    <col width="40" customWidth="1" min="2" max="2"/>
    <col width="40" customWidth="1" min="3" max="3"/>
    <col width="20" customWidth="1" min="4" max="4"/>
    <col width="12" customWidth="1" min="5" max="5"/>
    <col width="30" customWidth="1" min="6" max="6"/>
  </cols>
  <sheetData>
    <row r="1" ht="22" customHeight="1">
      <c r="A1" s="1" t="inlineStr">
        <is>
          <t>労働局・税理士に確認すべきこと　　確認したら「確認日」と「回答」を埋めてください</t>
        </is>
      </c>
    </row>
    <row r="2" ht="22" customHeight="1">
      <c r="A2" s="6" t="inlineStr">
        <is>
          <t>優先</t>
        </is>
      </c>
      <c r="B2" s="6" t="inlineStr">
        <is>
          <t>確認すること</t>
        </is>
      </c>
      <c r="C2" s="6" t="inlineStr">
        <is>
          <t>なぜ</t>
        </is>
      </c>
      <c r="D2" s="6" t="inlineStr">
        <is>
          <t>確認先</t>
        </is>
      </c>
      <c r="E2" s="6" t="inlineStr">
        <is>
          <t>確認日</t>
        </is>
      </c>
      <c r="F2" s="6" t="inlineStr">
        <is>
          <t>回答・結論</t>
        </is>
      </c>
    </row>
    <row r="3" ht="32" customHeight="1">
      <c r="A3" s="32" t="inlineStr">
        <is>
          <t>最優先</t>
        </is>
      </c>
      <c r="B3" s="20" t="inlineStr">
        <is>
          <t>支給要領・パンフレットの最新版は何年何月版か（令和8年8月3日改正版の有無と内容）</t>
        </is>
      </c>
      <c r="C3" s="31" t="inlineStr">
        <is>
          <t>この資料はR8.5.14版に基づく。8/3以降に計画届を出す案件には前提が当てはまらないおそれ</t>
        </is>
      </c>
      <c r="D3" s="20" t="inlineStr">
        <is>
          <t>労働局／厚労省サイト</t>
        </is>
      </c>
      <c r="E3" s="33" t="n"/>
      <c r="F3" s="34" t="n"/>
    </row>
    <row r="4" ht="32" customHeight="1">
      <c r="A4" s="32" t="inlineStr">
        <is>
          <t>最優先</t>
        </is>
      </c>
      <c r="B4" s="20" t="inlineStr">
        <is>
          <t>経費助成の上限額（1人あたり／1事業所あたり／1年度あたり／定額制固有）と、75%を掛ける順序</t>
        </is>
      </c>
      <c r="C4" s="31" t="inlineStr">
        <is>
          <t>資料に記載がない。契約額×75%で経営者に提示すると期待値を誤らせる</t>
        </is>
      </c>
      <c r="D4" s="20" t="inlineStr">
        <is>
          <t>労働局</t>
        </is>
      </c>
      <c r="E4" s="33" t="n"/>
      <c r="F4" s="34" t="n"/>
    </row>
    <row r="5" ht="32" customHeight="1">
      <c r="A5" s="32" t="inlineStr">
        <is>
          <t>最優先</t>
        </is>
      </c>
      <c r="B5" s="20" t="inlineStr">
        <is>
          <t>1労働者1年度あたりの申請回数の上限。eラーニングの年1回制限が定額制にも及ぶか</t>
        </is>
      </c>
      <c r="C5" s="31" t="inlineStr">
        <is>
          <t>情報が割れている。複数回申請を前提に動くと2回目以降が全額不支給になり得る</t>
        </is>
      </c>
      <c r="D5" s="20" t="inlineStr">
        <is>
          <t>労働局</t>
        </is>
      </c>
      <c r="E5" s="33" t="n"/>
      <c r="F5" s="34" t="n"/>
    </row>
    <row r="6" ht="32" customHeight="1">
      <c r="A6" s="32" t="inlineStr">
        <is>
          <t>最優先</t>
        </is>
      </c>
      <c r="B6" s="20" t="inlineStr">
        <is>
          <t>汎用的なAI・DX・GX研修が対象外になったか。講座選定の基準</t>
        </is>
      </c>
      <c r="C6" s="31" t="inlineStr">
        <is>
          <t>定額制は受け放題のため汎用講座が主力になりがち。計画届段階で立証を作り込む必要</t>
        </is>
      </c>
      <c r="D6" s="20" t="inlineStr">
        <is>
          <t>労働局</t>
        </is>
      </c>
      <c r="E6" s="33" t="n"/>
      <c r="F6" s="34" t="n"/>
    </row>
    <row r="7" ht="32" customHeight="1">
      <c r="A7" s="32" t="inlineStr">
        <is>
          <t>最優先</t>
        </is>
      </c>
      <c r="B7" s="20" t="inlineStr">
        <is>
          <t>事業展開等実施計画に認定経営革新等支援機関の確認が必要か</t>
        </is>
      </c>
      <c r="C7" s="31" t="inlineStr">
        <is>
          <t>必要なら工程が1本増え、「契約初日の1か月前」の期限設計が破綻する</t>
        </is>
      </c>
      <c r="D7" s="20" t="inlineStr">
        <is>
          <t>労働局</t>
        </is>
      </c>
      <c r="E7" s="33" t="n"/>
      <c r="F7" s="34" t="n"/>
    </row>
    <row r="8" ht="32" customHeight="1">
      <c r="A8" s="35" t="inlineStr">
        <is>
          <t>高</t>
        </is>
      </c>
      <c r="B8" s="20" t="inlineStr">
        <is>
          <t>計画届の提出期限の両端（最早提出日はあるか。6か月前より早いと受理されないか）</t>
        </is>
      </c>
      <c r="C8" s="31" t="inlineStr">
        <is>
          <t>情報が割れている。期限を外すとその訓練は全損</t>
        </is>
      </c>
      <c r="D8" s="20" t="inlineStr">
        <is>
          <t>労働局</t>
        </is>
      </c>
      <c r="E8" s="33" t="n"/>
      <c r="F8" s="34" t="n"/>
    </row>
    <row r="9" ht="32" customHeight="1">
      <c r="A9" s="35" t="inlineStr">
        <is>
          <t>高</t>
        </is>
      </c>
      <c r="B9" s="20" t="inlineStr">
        <is>
          <t>事業所確認票は様式第13号か、様式第14-1号か</t>
        </is>
      </c>
      <c r="C9" s="31" t="inlineStr">
        <is>
          <t>資料内で矛盾している。このままでは半分の確率で誤った様式を使う</t>
        </is>
      </c>
      <c r="D9" s="20" t="inlineStr">
        <is>
          <t>労働局／様式一覧</t>
        </is>
      </c>
      <c r="E9" s="33" t="n"/>
      <c r="F9" s="34" t="n"/>
    </row>
    <row r="10" ht="32" customHeight="1">
      <c r="A10" s="35" t="inlineStr">
        <is>
          <t>高</t>
        </is>
      </c>
      <c r="B10" s="20" t="inlineStr">
        <is>
          <t>不正受給の延滞金の率（3%か年5%か）と、不支給期間（5年か）</t>
        </is>
      </c>
      <c r="C10" s="31" t="inlineStr">
        <is>
          <t>資料は3%。点検で年5%とする情報も出た</t>
        </is>
      </c>
      <c r="D10" s="20" t="inlineStr">
        <is>
          <t>労働局</t>
        </is>
      </c>
      <c r="E10" s="33" t="n"/>
      <c r="F10" s="34" t="n"/>
    </row>
    <row r="11" ht="32" customHeight="1">
      <c r="A11" s="35" t="inlineStr">
        <is>
          <t>高</t>
        </is>
      </c>
      <c r="B11" s="20" t="inlineStr">
        <is>
          <t>賃金要件・資格等手当要件の加算率（+15%か）と、設備投資加算の要件・加算率</t>
        </is>
      </c>
      <c r="C11" s="31" t="inlineStr">
        <is>
          <t>資料は「さらに加算あり」としか書いていない。加算は計画届段階で意思表示しないと後から取れないのが通例</t>
        </is>
      </c>
      <c r="D11" s="20" t="inlineStr">
        <is>
          <t>労働局</t>
        </is>
      </c>
      <c r="E11" s="33" t="n"/>
      <c r="F11" s="34" t="n"/>
    </row>
    <row r="12" ht="32" customHeight="1">
      <c r="A12" s="35" t="inlineStr">
        <is>
          <t>高</t>
        </is>
      </c>
      <c r="B12" s="20" t="inlineStr">
        <is>
          <t>本コースに事業主都合解雇の要件が課されるか</t>
        </is>
      </c>
      <c r="C12" s="31" t="inlineStr">
        <is>
          <t>コースにより有無が異なる</t>
        </is>
      </c>
      <c r="D12" s="20" t="inlineStr">
        <is>
          <t>労働局</t>
        </is>
      </c>
      <c r="E12" s="33" t="n"/>
      <c r="F12" s="34" t="n"/>
    </row>
    <row r="13" ht="32" customHeight="1">
      <c r="A13" s="36" t="inlineStr">
        <is>
          <t>中</t>
        </is>
      </c>
      <c r="B13" s="20" t="inlineStr">
        <is>
          <t>労働保険料の要件は「前年度以前」か「前年度より前」か。除外規定の文言</t>
        </is>
      </c>
      <c r="C13" s="31" t="inlineStr">
        <is>
          <t>前年度分を含むかで結論が逆になる</t>
        </is>
      </c>
      <c r="D13" s="20" t="inlineStr">
        <is>
          <t>労働局</t>
        </is>
      </c>
      <c r="E13" s="33" t="n"/>
      <c r="F13" s="34" t="n"/>
    </row>
    <row r="14" ht="32" customHeight="1">
      <c r="A14" s="36" t="inlineStr">
        <is>
          <t>中</t>
        </is>
      </c>
      <c r="B14" s="20" t="inlineStr">
        <is>
          <t>5割要件で、対象外講座がちょうど5割のときはどちらか</t>
        </is>
      </c>
      <c r="C14" s="31" t="inlineStr">
        <is>
          <t>資料と官の表現で結論が逆になる</t>
        </is>
      </c>
      <c r="D14" s="20" t="inlineStr">
        <is>
          <t>労働局</t>
        </is>
      </c>
      <c r="E14" s="33" t="n"/>
      <c r="F14" s="34" t="n"/>
    </row>
    <row r="15" ht="32" customHeight="1">
      <c r="A15" s="36" t="inlineStr">
        <is>
          <t>中</t>
        </is>
      </c>
      <c r="B15" s="20" t="inlineStr">
        <is>
          <t>自動更新の定額制サービスで、計画届をどう区切るか</t>
        </is>
      </c>
      <c r="C15" s="31" t="inlineStr">
        <is>
          <t>サブスクは自動更新が大半。複数社管理では必ず当たる</t>
        </is>
      </c>
      <c r="D15" s="20" t="inlineStr">
        <is>
          <t>労働局</t>
        </is>
      </c>
      <c r="E15" s="33" t="n"/>
      <c r="F15" s="34" t="n"/>
    </row>
    <row r="16" ht="32" customHeight="1">
      <c r="A16" s="36" t="inlineStr">
        <is>
          <t>中</t>
        </is>
      </c>
      <c r="B16" s="20" t="inlineStr">
        <is>
          <t>変更届の提出期限の具体日数。期中入社者を受講予定者に追加できるか</t>
        </is>
      </c>
      <c r="C16" s="31" t="inlineStr">
        <is>
          <t>資料に日数の記載がない。変更は直前に起きる</t>
        </is>
      </c>
      <c r="D16" s="20" t="inlineStr">
        <is>
          <t>労働局</t>
        </is>
      </c>
      <c r="E16" s="33" t="n"/>
      <c r="F16" s="34" t="n"/>
    </row>
    <row r="17" ht="32" customHeight="1">
      <c r="A17" s="36" t="inlineStr">
        <is>
          <t>中</t>
        </is>
      </c>
      <c r="B17" s="20" t="inlineStr">
        <is>
          <t>経費助成の算定基礎は税込か税抜か。消費税仕入控除税額の報告義務があるか</t>
        </is>
      </c>
      <c r="C17" s="31" t="inlineStr">
        <is>
          <t>助成額の見積もりが数%ずれる。業務改善助成金には報告義務がある</t>
        </is>
      </c>
      <c r="D17" s="20" t="inlineStr">
        <is>
          <t>労働局</t>
        </is>
      </c>
      <c r="E17" s="33" t="n"/>
      <c r="F17" s="34" t="n"/>
    </row>
    <row r="18" ht="32" customHeight="1">
      <c r="A18" s="36" t="inlineStr">
        <is>
          <t>中</t>
        </is>
      </c>
      <c r="B18" s="20" t="inlineStr">
        <is>
          <t>提出先は職業安定部か雇用環境・均等部（室）か（各社の管轄局ごと）</t>
        </is>
      </c>
      <c r="C18" s="31" t="inlineStr">
        <is>
          <t>郵送は到着日が提出日。誤送で回付に数日かかると期限を落とす</t>
        </is>
      </c>
      <c r="D18" s="20" t="inlineStr">
        <is>
          <t>各社の管轄労働局</t>
        </is>
      </c>
      <c r="E18" s="33" t="n"/>
      <c r="F18" s="34" t="n"/>
    </row>
    <row r="19" ht="32" customHeight="1">
      <c r="A19" s="36" t="inlineStr">
        <is>
          <t>中</t>
        </is>
      </c>
      <c r="B19" s="20" t="inlineStr">
        <is>
          <t>雇用関係助成金に「みなし大企業」の規定があるか。中小判定の基準日はいつか</t>
        </is>
      </c>
      <c r="C19" s="31" t="inlineStr">
        <is>
          <t>情報が割れている。経産省系補助金の概念をそのまま持ち込まないこと</t>
        </is>
      </c>
      <c r="D19" s="20" t="inlineStr">
        <is>
          <t>労働局</t>
        </is>
      </c>
      <c r="E19" s="33" t="n"/>
      <c r="F19" s="34" t="n"/>
    </row>
    <row r="20" ht="32" customHeight="1">
      <c r="A20" s="36" t="inlineStr">
        <is>
          <t>中</t>
        </is>
      </c>
      <c r="B20" s="20" t="inlineStr">
        <is>
          <t>この助成金をどの事業年度の収入に立てるか（各社の決算期ごと）</t>
        </is>
      </c>
      <c r="C20" s="31" t="inlineStr">
        <is>
          <t>支給決定日基準か、受講料の発生年度か。決算期をまたぐと影響が出る</t>
        </is>
      </c>
      <c r="D20" s="20" t="inlineStr">
        <is>
          <t>顧問税理士</t>
        </is>
      </c>
      <c r="E20" s="33" t="n"/>
      <c r="F20" s="34" t="n"/>
    </row>
    <row r="21" ht="32" customHeight="1">
      <c r="A21" s="36" t="inlineStr">
        <is>
          <t>中</t>
        </is>
      </c>
      <c r="B21" s="20" t="inlineStr">
        <is>
          <t>年払いのサブスク受講料を短期前払費用として一括損金にできるか</t>
        </is>
      </c>
      <c r="C21" s="31" t="inlineStr">
        <is>
          <t>定額制は受講量が月で変動するため、当然に使えるとは限らない。グループで方針を統一する</t>
        </is>
      </c>
      <c r="D21" s="20" t="inlineStr">
        <is>
          <t>顧問税理士</t>
        </is>
      </c>
      <c r="E21" s="33" t="n"/>
      <c r="F21" s="34" t="n"/>
    </row>
    <row r="22" ht="32" customHeight="1">
      <c r="A22" s="36" t="inlineStr">
        <is>
          <t>中</t>
        </is>
      </c>
      <c r="B22" s="20" t="inlineStr">
        <is>
          <t>訓練機関が適格請求書発行事業者か。各社の課税方式（本則／簡易／2割特例）</t>
        </is>
      </c>
      <c r="C22" s="31" t="inlineStr">
        <is>
          <t>経過措置の控除割合が令和8年10月1日に切り替わる</t>
        </is>
      </c>
      <c r="D22" s="20" t="inlineStr">
        <is>
          <t>訓練機関／顧問税理士</t>
        </is>
      </c>
      <c r="E22" s="33" t="n"/>
      <c r="F22" s="34" t="n"/>
    </row>
    <row r="24">
      <c r="B24" s="18" t="inlineStr">
        <is>
          <t>※ この一覧は、社労士・税理士・診断士の3観点でこの資料を点検したときに「一次情報で確認できなかった」項目です。</t>
        </is>
      </c>
    </row>
    <row r="25">
      <c r="B25" s="4" t="inlineStr">
        <is>
          <t>※ 厚生労働省・国税庁のサイトに接続できない環境で点検したため、条文やパンフレットの原文は読めていません。</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2026-09-15T22:05:16Z</dcterms:created>
  <dcterms:modified xmlns:dcterms="http://purl.org/dc/terms/" xmlns:xsi="http://www.w3.org/2001/XMLSchema-instance" xsi:type="dcterms:W3CDTF">2026-09-15T22:05:16Z</dcterms:modified>
</cp:coreProperties>
</file>