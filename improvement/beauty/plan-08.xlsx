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事業概要" sheetId="1" state="visible" r:id="rId1"/>
    <sheet xmlns:r="http://schemas.openxmlformats.org/officeDocument/2006/relationships" name="2_現状の課題" sheetId="2" state="visible" r:id="rId2"/>
    <sheet xmlns:r="http://schemas.openxmlformats.org/officeDocument/2006/relationships" name="3_システム導入" sheetId="3" state="visible" r:id="rId3"/>
    <sheet xmlns:r="http://schemas.openxmlformats.org/officeDocument/2006/relationships" name="4_生産性" sheetId="4" state="visible" r:id="rId4"/>
    <sheet xmlns:r="http://schemas.openxmlformats.org/officeDocument/2006/relationships" name="5_賃上げ計画" sheetId="5" state="visible" r:id="rId5"/>
    <sheet xmlns:r="http://schemas.openxmlformats.org/officeDocument/2006/relationships" name="6_資金計画" sheetId="6" state="visible" r:id="rId6"/>
    <sheet xmlns:r="http://schemas.openxmlformats.org/officeDocument/2006/relationships" name="7_実施体制" sheetId="7" state="visible" r:id="rId7"/>
    <sheet xmlns:r="http://schemas.openxmlformats.org/officeDocument/2006/relationships" name="8_リスク" sheetId="8" state="visible" r:id="rId8"/>
    <sheet xmlns:r="http://schemas.openxmlformats.org/officeDocument/2006/relationships" name="9_波及効果" sheetId="9" state="visible" r:id="rId9"/>
    <sheet xmlns:r="http://schemas.openxmlformats.org/officeDocument/2006/relationships" name="10_要件確認" sheetId="10" state="visible" r:id="rId10"/>
  </sheets>
  <definedNames>
    <definedName name="_xlnm.Print_Area" localSheetId="0">'1_事業概要'!$A$1:$E$45</definedName>
    <definedName name="_xlnm.Print_Area" localSheetId="1">'2_現状の課題'!$A$1:$E$32</definedName>
    <definedName name="_xlnm.Print_Area" localSheetId="2">'3_システム導入'!$A$1:$E$23</definedName>
    <definedName name="_xlnm.Print_Area" localSheetId="3">'4_生産性'!$A$1:$E$35</definedName>
    <definedName name="_xlnm.Print_Area" localSheetId="4">'5_賃上げ計画'!$A$1:$E$37</definedName>
    <definedName name="_xlnm.Print_Area" localSheetId="5">'6_資金計画'!$A$1:$E$63</definedName>
    <definedName name="_xlnm.Print_Area" localSheetId="6">'7_実施体制'!$A$1:$E$28</definedName>
    <definedName name="_xlnm.Print_Area" localSheetId="7">'8_リスク'!$A$1:$E$12</definedName>
    <definedName name="_xlnm.Print_Area" localSheetId="8">'9_波及効果'!$A$1:$E$12</definedName>
    <definedName name="_xlnm.Print_Area" localSheetId="9">'10_要件確認'!$A$1:$E$18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8A5A2B"/>
      <sz val="14"/>
    </font>
    <font>
      <name val="Yu Gothic"/>
      <i val="1"/>
      <color rgb="006F675E"/>
      <sz val="9"/>
    </font>
    <font>
      <name val="Yu Gothic"/>
      <b val="1"/>
      <color rgb="0026221E"/>
      <sz val="13"/>
    </font>
    <font>
      <name val="Yu Gothic"/>
      <color rgb="0026221E"/>
      <sz val="10"/>
    </font>
    <font>
      <name val="Yu Gothic"/>
      <b val="1"/>
      <color rgb="008A5A2B"/>
      <sz val="11"/>
    </font>
    <font>
      <name val="Yu Gothic"/>
      <b val="1"/>
      <color rgb="006F675E"/>
      <sz val="10"/>
    </font>
  </fonts>
  <fills count="4">
    <fill>
      <patternFill/>
    </fill>
    <fill>
      <patternFill patternType="gray125"/>
    </fill>
    <fill>
      <patternFill patternType="solid">
        <fgColor rgb="00EFE9E0"/>
      </patternFill>
    </fill>
    <fill>
      <patternFill patternType="solid">
        <fgColor rgb="00F7F3EC"/>
      </patternFill>
    </fill>
  </fills>
  <borders count="2">
    <border>
      <left/>
      <right/>
      <top/>
      <bottom/>
      <diagonal/>
    </border>
    <border>
      <left style="thin">
        <color rgb="00D9D2C8"/>
      </left>
      <right style="thin">
        <color rgb="00D9D2C8"/>
      </right>
      <top style="thin">
        <color rgb="00D9D2C8"/>
      </top>
      <bottom style="thin">
        <color rgb="00D9D2C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horizontal="center" vertical="center" wrapText="1"/>
    </xf>
    <xf numFmtId="0" fontId="4"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主要KPI(導入前→導入後)</a:t>
            </a:r>
          </a:p>
        </rich>
      </tx>
    </title>
    <plotArea>
      <barChart>
        <barDir val="col"/>
        <grouping val="clustered"/>
        <ser>
          <idx val="0"/>
          <order val="0"/>
          <tx>
            <strRef>
              <f>'1_事業概要'!B23</f>
            </strRef>
          </tx>
          <spPr>
            <a:solidFill xmlns:a="http://schemas.openxmlformats.org/drawingml/2006/main">
              <a:srgbClr val="C9B79C"/>
            </a:solidFill>
            <a:ln xmlns:a="http://schemas.openxmlformats.org/drawingml/2006/main">
              <a:prstDash val="solid"/>
            </a:ln>
          </spPr>
          <cat>
            <numRef>
              <f>'1_事業概要'!$A$24:$A$27</f>
            </numRef>
          </cat>
          <val>
            <numRef>
              <f>'1_事業概要'!$B$24:$B$27</f>
            </numRef>
          </val>
        </ser>
        <ser>
          <idx val="1"/>
          <order val="1"/>
          <tx>
            <strRef>
              <f>'1_事業概要'!C23</f>
            </strRef>
          </tx>
          <spPr>
            <a:solidFill xmlns:a="http://schemas.openxmlformats.org/drawingml/2006/main">
              <a:srgbClr val="3E6B4F"/>
            </a:solidFill>
            <a:ln xmlns:a="http://schemas.openxmlformats.org/drawingml/2006/main">
              <a:prstDash val="solid"/>
            </a:ln>
          </spPr>
          <cat>
            <numRef>
              <f>'1_事業概要'!$A$24:$A$27</f>
            </numRef>
          </cat>
          <val>
            <numRef>
              <f>'1_事業概要'!$C$24:$C$27</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省力化・属人化指標(%)</a:t>
            </a:r>
          </a:p>
        </rich>
      </tx>
    </title>
    <plotArea>
      <barChart>
        <barDir val="col"/>
        <grouping val="clustered"/>
        <ser>
          <idx val="0"/>
          <order val="0"/>
          <tx>
            <strRef>
              <f>'2_現状の課題'!B13</f>
            </strRef>
          </tx>
          <spPr>
            <a:solidFill xmlns:a="http://schemas.openxmlformats.org/drawingml/2006/main">
              <a:srgbClr val="C9B79C"/>
            </a:solidFill>
            <a:ln xmlns:a="http://schemas.openxmlformats.org/drawingml/2006/main">
              <a:prstDash val="solid"/>
            </a:ln>
          </spPr>
          <cat>
            <numRef>
              <f>'2_現状の課題'!$A$14:$A$15</f>
            </numRef>
          </cat>
          <val>
            <numRef>
              <f>'2_現状の課題'!$B$14:$B$15</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導入前後の業務指標比較</a:t>
            </a:r>
          </a:p>
        </rich>
      </tx>
    </title>
    <plotArea>
      <barChart>
        <barDir val="col"/>
        <grouping val="clustered"/>
        <ser>
          <idx val="0"/>
          <order val="0"/>
          <tx>
            <strRef>
              <f>'4_生産性'!B4</f>
            </strRef>
          </tx>
          <spPr>
            <a:solidFill xmlns:a="http://schemas.openxmlformats.org/drawingml/2006/main">
              <a:srgbClr val="C9B79C"/>
            </a:solidFill>
            <a:ln xmlns:a="http://schemas.openxmlformats.org/drawingml/2006/main">
              <a:prstDash val="solid"/>
            </a:ln>
          </spPr>
          <cat>
            <numRef>
              <f>'4_生産性'!$A$5:$A$8</f>
            </numRef>
          </cat>
          <val>
            <numRef>
              <f>'4_生産性'!$B$5:$B$8</f>
            </numRef>
          </val>
        </ser>
        <ser>
          <idx val="1"/>
          <order val="1"/>
          <tx>
            <strRef>
              <f>'4_生産性'!C4</f>
            </strRef>
          </tx>
          <spPr>
            <a:solidFill xmlns:a="http://schemas.openxmlformats.org/drawingml/2006/main">
              <a:srgbClr val="3E6B4F"/>
            </a:solidFill>
            <a:ln xmlns:a="http://schemas.openxmlformats.org/drawingml/2006/main">
              <a:prstDash val="solid"/>
            </a:ln>
          </spPr>
          <cat>
            <numRef>
              <f>'4_生産性'!$A$5:$A$8</f>
            </numRef>
          </cat>
          <val>
            <numRef>
              <f>'4_生産性'!$C$5:$C$8</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事業場内最低賃金の推移(円/時)</a:t>
            </a:r>
          </a:p>
        </rich>
      </tx>
    </title>
    <plotArea>
      <barChart>
        <barDir val="col"/>
        <grouping val="clustered"/>
        <ser>
          <idx val="0"/>
          <order val="0"/>
          <tx>
            <strRef>
              <f>'5_賃上げ計画'!B13</f>
            </strRef>
          </tx>
          <spPr>
            <a:solidFill xmlns:a="http://schemas.openxmlformats.org/drawingml/2006/main">
              <a:srgbClr val="C9B79C"/>
            </a:solidFill>
            <a:ln xmlns:a="http://schemas.openxmlformats.org/drawingml/2006/main">
              <a:prstDash val="solid"/>
            </a:ln>
          </spPr>
          <cat>
            <numRef>
              <f>'5_賃上げ計画'!$A$14:$A$16</f>
            </numRef>
          </cat>
          <val>
            <numRef>
              <f>'5_賃上げ計画'!$B$14:$B$16</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投資内訳</a:t>
            </a:r>
          </a:p>
        </rich>
      </tx>
    </title>
    <plotArea>
      <pieChart>
        <varyColors val="1"/>
        <ser>
          <idx val="0"/>
          <order val="0"/>
          <tx>
            <strRef>
              <f>'6_資金計画'!B4</f>
            </strRef>
          </tx>
          <spPr>
            <a:ln xmlns:a="http://schemas.openxmlformats.org/drawingml/2006/main">
              <a:prstDash val="solid"/>
            </a:ln>
          </spPr>
          <cat>
            <numRef>
              <f>'6_資金計画'!$A$5:$A$8</f>
            </numRef>
          </cat>
          <val>
            <numRef>
              <f>'6_資金計画'!$B$5:$B$8</f>
            </numRef>
          </val>
        </ser>
        <dLbls>
          <showPercent val="1"/>
        </dLbls>
        <firstSliceAng val="0"/>
      </pieChart>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累積キャッシュフロー(万円)</a:t>
            </a:r>
          </a:p>
        </rich>
      </tx>
    </title>
    <plotArea>
      <barChart>
        <barDir val="col"/>
        <grouping val="clustered"/>
        <ser>
          <idx val="0"/>
          <order val="0"/>
          <tx>
            <strRef>
              <f>'6_資金計画'!B34</f>
            </strRef>
          </tx>
          <spPr>
            <a:solidFill xmlns:a="http://schemas.openxmlformats.org/drawingml/2006/main">
              <a:srgbClr val="C9B79C"/>
            </a:solidFill>
            <a:ln xmlns:a="http://schemas.openxmlformats.org/drawingml/2006/main">
              <a:prstDash val="solid"/>
            </a:ln>
          </spPr>
          <cat>
            <numRef>
              <f>'6_資金計画'!$A$35:$A$39</f>
            </numRef>
          </cat>
          <val>
            <numRef>
              <f>'6_資金計画'!$B$35:$B$39</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0</col>
      <colOff>0</colOff>
      <row>28</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16</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17</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40</row>
      <rowOff>0</rowOff>
    </from>
    <ext cx="558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D4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 事業概要</t>
        </is>
      </c>
      <c r="D1" s="2" t="inlineStr">
        <is>
          <t>1 / 10</t>
        </is>
      </c>
    </row>
    <row r="3" ht="30" customHeight="1">
      <c r="A3" s="3" t="inlineStr">
        <is>
          <t>技術教育動画AI自動生成システムによる人材育成の省力化と生産性向上</t>
        </is>
      </c>
    </row>
    <row r="4" ht="30" customHeight="1">
      <c r="A4" s="4" t="inlineStr">
        <is>
          <t>熟練者の施術動画をAIが教材化し、指導時間の削減とデビュー期間の短縮で一人当たり付加価値を高める</t>
        </is>
      </c>
    </row>
    <row r="6">
      <c r="A6" s="5" t="inlineStr">
        <is>
          <t>申請者概要</t>
        </is>
      </c>
    </row>
    <row r="7" ht="43" customHeight="1">
      <c r="A7" s="6" t="inlineStr">
        <is>
          <t>事業者名</t>
        </is>
      </c>
      <c r="B7" s="7" t="inlineStr">
        <is>
          <t>SALON BLOOM 表参道(デモ)</t>
        </is>
      </c>
    </row>
    <row r="8" ht="30" customHeight="1">
      <c r="A8" s="6" t="inlineStr">
        <is>
          <t>業種</t>
        </is>
      </c>
      <c r="B8" s="7" t="inlineStr">
        <is>
          <t>美容室(ヘアサロン)</t>
        </is>
      </c>
    </row>
    <row r="9" ht="17" customHeight="1">
      <c r="A9" s="6" t="inlineStr">
        <is>
          <t>所在地</t>
        </is>
      </c>
      <c r="B9" s="7" t="inlineStr">
        <is>
          <t>東京都渋谷区</t>
        </is>
      </c>
    </row>
    <row r="10" ht="17" customHeight="1">
      <c r="A10" s="6" t="inlineStr">
        <is>
          <t>従業員数</t>
        </is>
      </c>
      <c r="B10" s="7" t="inlineStr">
        <is>
          <t>5名</t>
        </is>
      </c>
    </row>
    <row r="11" ht="17" customHeight="1">
      <c r="A11" s="6" t="inlineStr">
        <is>
          <t>創業</t>
        </is>
      </c>
      <c r="B11" s="7" t="inlineStr">
        <is>
          <t>2019年</t>
        </is>
      </c>
    </row>
    <row r="12" ht="30" customHeight="1">
      <c r="A12" s="6" t="inlineStr">
        <is>
          <t>年商</t>
        </is>
      </c>
      <c r="B12" s="7" t="inlineStr">
        <is>
          <t>3,000万円/年</t>
        </is>
      </c>
    </row>
    <row r="14">
      <c r="A14" s="5" t="inlineStr">
        <is>
          <t>本事業のサマリー(数値は編集可能)</t>
        </is>
      </c>
    </row>
    <row r="15" ht="17" customHeight="1">
      <c r="A15" s="6" t="inlineStr">
        <is>
          <t>投資総額(万円)</t>
        </is>
      </c>
      <c r="B15" s="7" t="n">
        <v>170</v>
      </c>
    </row>
    <row r="16" ht="56" customHeight="1">
      <c r="A16" s="6" t="inlineStr">
        <is>
          <t>補助率</t>
        </is>
      </c>
      <c r="B16" s="7" t="inlineStr">
        <is>
          <t>3/4(引上げ前の事業場内最低賃金が1,050円未満は4/5)</t>
        </is>
      </c>
    </row>
    <row r="17" ht="17" customHeight="1">
      <c r="A17" s="6" t="inlineStr">
        <is>
          <t>補助見込(万円)</t>
        </is>
      </c>
      <c r="B17" s="7" t="n">
        <v>128</v>
      </c>
    </row>
    <row r="18" ht="17" customHeight="1">
      <c r="A18" s="6" t="inlineStr">
        <is>
          <t>自己負担(万円)</t>
        </is>
      </c>
      <c r="B18" s="7" t="n">
        <v>42</v>
      </c>
    </row>
    <row r="19" ht="17" customHeight="1">
      <c r="A19" s="6" t="inlineStr">
        <is>
          <t>省力化効果(時間/月)</t>
        </is>
      </c>
      <c r="B19" s="7" t="n">
        <v>24</v>
      </c>
    </row>
    <row r="20" ht="17" customHeight="1">
      <c r="A20" s="6" t="inlineStr">
        <is>
          <t>投資回収(年)</t>
        </is>
      </c>
      <c r="B20" s="7" t="n">
        <v>1.6</v>
      </c>
    </row>
    <row r="22">
      <c r="A22" s="5" t="inlineStr">
        <is>
          <t>主要KPI(導入前→導入後)</t>
        </is>
      </c>
    </row>
    <row r="23" ht="17" customHeight="1">
      <c r="A23" s="8" t="inlineStr">
        <is>
          <t>指標</t>
        </is>
      </c>
      <c r="B23" s="8" t="inlineStr">
        <is>
          <t>導入前</t>
        </is>
      </c>
      <c r="C23" s="8" t="inlineStr">
        <is>
          <t>導入後</t>
        </is>
      </c>
    </row>
    <row r="24" ht="17" customHeight="1">
      <c r="A24" s="7" t="inlineStr">
        <is>
          <t>指導時間(h/週)</t>
        </is>
      </c>
      <c r="B24" s="7" t="n">
        <v>9</v>
      </c>
      <c r="C24" s="7" t="n">
        <v>3</v>
      </c>
    </row>
    <row r="25" ht="17" customHeight="1">
      <c r="A25" s="7" t="inlineStr">
        <is>
          <t>デビュー期間(年)</t>
        </is>
      </c>
      <c r="B25" s="7" t="n">
        <v>32</v>
      </c>
      <c r="C25" s="7" t="n">
        <v>24</v>
      </c>
    </row>
    <row r="26" ht="17" customHeight="1">
      <c r="A26" s="7" t="inlineStr">
        <is>
          <t>教材ライブラリ(本)</t>
        </is>
      </c>
      <c r="B26" s="7" t="n">
        <v>0</v>
      </c>
      <c r="C26" s="7" t="n">
        <v>52</v>
      </c>
    </row>
    <row r="27" ht="17" customHeight="1">
      <c r="A27" s="7" t="inlineStr">
        <is>
          <t>新人習熟度(%)</t>
        </is>
      </c>
      <c r="B27" s="7" t="n">
        <v>45</v>
      </c>
      <c r="C27" s="7" t="n">
        <v>78</v>
      </c>
    </row>
    <row r="42" ht="43" customHeight="1">
      <c r="A42" s="4" t="inlineStr">
        <is>
          <t>美容師のスタイリストデビューには平均3年超を要し、育成はベテランのマンツーマン指導に依存する。指導はベテランの施術時間を奪い、店全体の生産性を下げる。育成の長期化と、退職に伴う技術・ノウハウの喪失が業界共通の課題である。</t>
        </is>
      </c>
    </row>
    <row r="43" ht="56" customHeight="1">
      <c r="A43" s="9" t="inlineStr">
        <is>
          <t>【本事業の狙い】熟練者の施術動画をAIが教材化し、指導時間の削減とデビュー期間の短縮で一人当たり付加価値を高める。省力化により生み出した時間を、より付加価値の高い接客・技術・提案へ再配分し、一人当たり労働生産性と従業員の処遇改善を同時に実現する。</t>
        </is>
      </c>
    </row>
  </sheetData>
  <mergeCells count="4">
    <mergeCell ref="A42:D42"/>
    <mergeCell ref="A4:D4"/>
    <mergeCell ref="A43:D43"/>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2. 現状の課題と労働実態</t>
        </is>
      </c>
      <c r="D1" s="2" t="inlineStr">
        <is>
          <t>2 / 10</t>
        </is>
      </c>
    </row>
    <row r="3" ht="43" customHeight="1">
      <c r="A3" s="4" t="inlineStr">
        <is>
          <t>美容師のスタイリストデビューには平均3年超を要し、育成はベテランのマンツーマン指導に依存する。指導はベテランの施術時間を奪い、店全体の生産性を下げる。育成の長期化と、退職に伴う技術・ノウハウの喪失が業界共通の課題である。</t>
        </is>
      </c>
    </row>
    <row r="4">
      <c r="A4" s="5" t="inlineStr">
        <is>
          <t>現状の労働実態(課題の定量化)</t>
        </is>
      </c>
    </row>
    <row r="5" ht="17" customHeight="1">
      <c r="A5" s="8" t="inlineStr">
        <is>
          <t>項目</t>
        </is>
      </c>
      <c r="B5" s="8" t="inlineStr">
        <is>
          <t>現状</t>
        </is>
      </c>
    </row>
    <row r="6" ht="17" customHeight="1">
      <c r="A6" s="7" t="inlineStr">
        <is>
          <t>対象業務の月間工数</t>
        </is>
      </c>
      <c r="B6" s="7" t="inlineStr">
        <is>
          <t>約26時間</t>
        </is>
      </c>
    </row>
    <row r="7" ht="30" customHeight="1">
      <c r="A7" s="7" t="inlineStr">
        <is>
          <t>担当</t>
        </is>
      </c>
      <c r="B7" s="7" t="inlineStr">
        <is>
          <t>店長・スタイリストが兼務</t>
        </is>
      </c>
    </row>
    <row r="8" ht="30" customHeight="1">
      <c r="A8" s="7" t="inlineStr">
        <is>
          <t>発生タイミング</t>
        </is>
      </c>
      <c r="B8" s="7" t="inlineStr">
        <is>
          <t>営業時間中/閉店後の残業</t>
        </is>
      </c>
    </row>
    <row r="9" ht="30" customHeight="1">
      <c r="A9" s="7" t="inlineStr">
        <is>
          <t>属人性</t>
        </is>
      </c>
      <c r="B9" s="7" t="inlineStr">
        <is>
          <t>高(特定者に依存)</t>
        </is>
      </c>
    </row>
    <row r="10" ht="17" customHeight="1">
      <c r="A10" s="7" t="inlineStr">
        <is>
          <t>ミス・機会損失</t>
        </is>
      </c>
      <c r="B10" s="7" t="inlineStr">
        <is>
          <t>恒常的に発生</t>
        </is>
      </c>
    </row>
    <row r="12">
      <c r="A12" s="5" t="inlineStr">
        <is>
          <t>省力化・属人化指標(%)</t>
        </is>
      </c>
    </row>
    <row r="13" ht="17" customHeight="1">
      <c r="A13" s="8" t="inlineStr">
        <is>
          <t>指標</t>
        </is>
      </c>
      <c r="B13" s="8" t="inlineStr">
        <is>
          <t>%</t>
        </is>
      </c>
    </row>
    <row r="14" ht="17" customHeight="1">
      <c r="A14" s="7" t="inlineStr">
        <is>
          <t>省力化率</t>
        </is>
      </c>
      <c r="B14" s="7" t="n">
        <v>92</v>
      </c>
    </row>
    <row r="15" ht="17" customHeight="1">
      <c r="A15" s="7" t="inlineStr">
        <is>
          <t>属人業務率</t>
        </is>
      </c>
      <c r="B15" s="7" t="n">
        <v>78</v>
      </c>
    </row>
    <row r="30" ht="27.4" customHeight="1">
      <c r="A30" s="10" t="inlineStr">
        <is>
          <t>※ 本計画の数値は業界実態に基づくデモ用の仮置きです。実申請時には自社の勤怠記録・POS実績等の裏付けデータに差し替えます。</t>
        </is>
      </c>
    </row>
  </sheetData>
  <mergeCells count="2">
    <mergeCell ref="A3:D3"/>
    <mergeCell ref="A30:D30"/>
  </mergeCells>
  <pageMargins left="0.35" right="0.35" top="0.4" bottom="0.4" header="0.1" footer="0.1"/>
  <pageSetup orientation="portrait" paperSize="9"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3. 導入システムと省力化プロセス</t>
        </is>
      </c>
      <c r="D1" s="2" t="inlineStr">
        <is>
          <t>3 / 10</t>
        </is>
      </c>
    </row>
    <row r="3" ht="43" customHeight="1">
      <c r="A3" s="4" t="inlineStr">
        <is>
          <t>本事業では、技術教育動画AI自動生成システムを導入する。人手で行ってきた一連の業務をAIが自動実行し、担当者は最終確認・承認のみを行う体制へ移行する。</t>
        </is>
      </c>
    </row>
    <row r="4">
      <c r="A4" s="5" t="inlineStr">
        <is>
          <t>導入フロー(STEP1〜STEP5)</t>
        </is>
      </c>
    </row>
    <row r="5" ht="17" customHeight="1">
      <c r="A5" s="8" t="inlineStr">
        <is>
          <t>STEP</t>
        </is>
      </c>
      <c r="B5" s="8" t="inlineStr">
        <is>
          <t>内容</t>
        </is>
      </c>
    </row>
    <row r="6" ht="30" customHeight="1">
      <c r="A6" s="7" t="inlineStr">
        <is>
          <t>STEP1</t>
        </is>
      </c>
      <c r="B6" s="7" t="inlineStr">
        <is>
          <t>熟練者の施術 動画を撮影</t>
        </is>
      </c>
    </row>
    <row r="7" ht="30" customHeight="1">
      <c r="A7" s="7" t="inlineStr">
        <is>
          <t>STEP2</t>
        </is>
      </c>
      <c r="B7" s="7" t="inlineStr">
        <is>
          <t>AIがシーン 分割・章立て</t>
        </is>
      </c>
    </row>
    <row r="8" ht="30" customHeight="1">
      <c r="A8" s="7" t="inlineStr">
        <is>
          <t>STEP3</t>
        </is>
      </c>
      <c r="B8" s="7" t="inlineStr">
        <is>
          <t>字幕・重要 点を自動抽出</t>
        </is>
      </c>
    </row>
    <row r="9" ht="30" customHeight="1">
      <c r="A9" s="7" t="inlineStr">
        <is>
          <t>STEP4</t>
        </is>
      </c>
      <c r="B9" s="7" t="inlineStr">
        <is>
          <t>確認クイズを 自動生成</t>
        </is>
      </c>
    </row>
    <row r="10" ht="30" customHeight="1">
      <c r="A10" s="7" t="inlineStr">
        <is>
          <t>STEP5</t>
        </is>
      </c>
      <c r="B10" s="7" t="inlineStr">
        <is>
          <t>習熟度を管理 ・弱点を提示</t>
        </is>
      </c>
    </row>
    <row r="12">
      <c r="A12" s="5" t="inlineStr">
        <is>
          <t>Before(人手) / After(AI自動化)</t>
        </is>
      </c>
    </row>
    <row r="13" ht="30" customHeight="1">
      <c r="A13" s="8" t="inlineStr">
        <is>
          <t>Before:現行フロー(人手)</t>
        </is>
      </c>
      <c r="B13" s="8" t="inlineStr">
        <is>
          <t>After:AI自動化フロー</t>
        </is>
      </c>
    </row>
    <row r="14" ht="30" customHeight="1">
      <c r="A14" s="7" t="inlineStr">
        <is>
          <t>担当者が手作業で全工程を実施</t>
        </is>
      </c>
      <c r="B14" s="7" t="inlineStr">
        <is>
          <t>AIが自動実行、担当は承認のみ</t>
        </is>
      </c>
    </row>
    <row r="15" ht="30" customHeight="1">
      <c r="A15" s="7" t="inlineStr">
        <is>
          <t>作業は営業時間・閉店後を圧迫</t>
        </is>
      </c>
      <c r="B15" s="7" t="inlineStr">
        <is>
          <t>24時間・無人でも業務が進行</t>
        </is>
      </c>
    </row>
    <row r="16" ht="30" customHeight="1">
      <c r="A16" s="7" t="inlineStr">
        <is>
          <t>品質・スピードが担当者に依存</t>
        </is>
      </c>
      <c r="B16" s="7" t="inlineStr">
        <is>
          <t>品質を標準化・均一化</t>
        </is>
      </c>
    </row>
    <row r="17" ht="30" customHeight="1">
      <c r="A17" s="7" t="inlineStr">
        <is>
          <t>記録・転記漏れやミスが発生</t>
        </is>
      </c>
      <c r="B17" s="7" t="inlineStr">
        <is>
          <t>記録は自動化しミスを排除</t>
        </is>
      </c>
    </row>
    <row r="19" ht="56" customHeight="1">
      <c r="A19" s="9" t="inlineStr">
        <is>
          <t>【実機デモ】本システムの動作は付属のプロトタイプ(prototypes/08-ai-training-video.html)で確認できる。実際の画面遷移・AI出力・効果数値を再現しており、審査における実現可能性の裏付けとする。</t>
        </is>
      </c>
    </row>
    <row r="21" ht="43" customHeight="1">
      <c r="A21" s="9" t="inlineStr">
        <is>
          <t>【差別化ポイント】熟練者の動画から章立て・字幕・重要ポイント・確認クイズまで全自動生成する点が差別化。指導時間を削減しながら育成を高速化し、退職前のベテラン技術をアーカイブして暗黙知を組織資産に転換する。</t>
        </is>
      </c>
    </row>
  </sheetData>
  <mergeCells count="3">
    <mergeCell ref="A21:D21"/>
    <mergeCell ref="A3:D3"/>
    <mergeCell ref="A19:D19"/>
  </mergeCells>
  <pageMargins left="0.35" right="0.35" top="0.4" bottom="0.4" header="0.1" footer="0.1"/>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D3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4. 労働生産性向上の定量根拠</t>
        </is>
      </c>
      <c r="D1" s="2" t="inlineStr">
        <is>
          <t>4 / 10</t>
        </is>
      </c>
    </row>
    <row r="3">
      <c r="A3" s="5" t="inlineStr">
        <is>
          <t>導入前後の業務指標比較(数値)</t>
        </is>
      </c>
    </row>
    <row r="4" ht="17" customHeight="1">
      <c r="A4" s="8" t="inlineStr">
        <is>
          <t>指標</t>
        </is>
      </c>
      <c r="B4" s="8" t="inlineStr">
        <is>
          <t>導入前</t>
        </is>
      </c>
      <c r="C4" s="8" t="inlineStr">
        <is>
          <t>導入後</t>
        </is>
      </c>
    </row>
    <row r="5" ht="17" customHeight="1">
      <c r="A5" s="7" t="inlineStr">
        <is>
          <t>指導時間(h/週)</t>
        </is>
      </c>
      <c r="B5" s="7" t="n">
        <v>9</v>
      </c>
      <c r="C5" s="7" t="n">
        <v>3</v>
      </c>
    </row>
    <row r="6" ht="17" customHeight="1">
      <c r="A6" s="7" t="inlineStr">
        <is>
          <t>デビュー期間(年)</t>
        </is>
      </c>
      <c r="B6" s="7" t="n">
        <v>32</v>
      </c>
      <c r="C6" s="7" t="n">
        <v>24</v>
      </c>
    </row>
    <row r="7" ht="17" customHeight="1">
      <c r="A7" s="7" t="inlineStr">
        <is>
          <t>教材ライブラリ(本)</t>
        </is>
      </c>
      <c r="B7" s="7" t="n">
        <v>0</v>
      </c>
      <c r="C7" s="7" t="n">
        <v>52</v>
      </c>
    </row>
    <row r="8" ht="17" customHeight="1">
      <c r="A8" s="7" t="inlineStr">
        <is>
          <t>新人習熟度(%)</t>
        </is>
      </c>
      <c r="B8" s="7" t="n">
        <v>45</v>
      </c>
      <c r="C8" s="7" t="n">
        <v>78</v>
      </c>
    </row>
    <row r="23">
      <c r="A23" s="5" t="inlineStr">
        <is>
          <t>詳細効果(指標別)</t>
        </is>
      </c>
    </row>
    <row r="24" ht="17" customHeight="1">
      <c r="A24" s="8" t="inlineStr">
        <is>
          <t>指標</t>
        </is>
      </c>
      <c r="B24" s="8" t="inlineStr">
        <is>
          <t>導入前</t>
        </is>
      </c>
      <c r="C24" s="8" t="inlineStr">
        <is>
          <t>導入後</t>
        </is>
      </c>
      <c r="D24" s="8" t="inlineStr">
        <is>
          <t>改善</t>
        </is>
      </c>
    </row>
    <row r="25" ht="17" customHeight="1">
      <c r="A25" s="7" t="inlineStr">
        <is>
          <t>マンツーマン指導時間</t>
        </is>
      </c>
      <c r="B25" s="7" t="inlineStr">
        <is>
          <t>週9時間</t>
        </is>
      </c>
      <c r="C25" s="7" t="inlineStr">
        <is>
          <t>週3時間</t>
        </is>
      </c>
      <c r="D25" s="7" t="inlineStr">
        <is>
          <t>▲6h/週</t>
        </is>
      </c>
    </row>
    <row r="26" ht="17" customHeight="1">
      <c r="A26" s="7" t="inlineStr">
        <is>
          <t>スタイリストデビュー期間</t>
        </is>
      </c>
      <c r="B26" s="7" t="inlineStr">
        <is>
          <t>3.2年</t>
        </is>
      </c>
      <c r="C26" s="7" t="inlineStr">
        <is>
          <t>2.4年</t>
        </is>
      </c>
      <c r="D26" s="7" t="inlineStr">
        <is>
          <t>▲0.8年</t>
        </is>
      </c>
    </row>
    <row r="27" ht="17" customHeight="1">
      <c r="A27" s="7" t="inlineStr">
        <is>
          <t>教材ライブラリ</t>
        </is>
      </c>
      <c r="B27" s="7" t="inlineStr">
        <is>
          <t>0本</t>
        </is>
      </c>
      <c r="C27" s="7" t="inlineStr">
        <is>
          <t>52本(自動)</t>
        </is>
      </c>
      <c r="D27" s="7" t="inlineStr">
        <is>
          <t>資産化</t>
        </is>
      </c>
    </row>
    <row r="28" ht="17" customHeight="1">
      <c r="A28" s="7" t="inlineStr">
        <is>
          <t>新人の技術習熟度</t>
        </is>
      </c>
      <c r="B28" s="7" t="inlineStr">
        <is>
          <t>45%</t>
        </is>
      </c>
      <c r="C28" s="7" t="inlineStr">
        <is>
          <t>78%</t>
        </is>
      </c>
      <c r="D28" s="7" t="inlineStr">
        <is>
          <t>+33pt</t>
        </is>
      </c>
    </row>
    <row r="29" ht="17" customHeight="1">
      <c r="A29" s="7" t="inlineStr">
        <is>
          <t>退職時の技術ノウハウ喪失</t>
        </is>
      </c>
      <c r="B29" s="7" t="inlineStr">
        <is>
          <t>都度発生</t>
        </is>
      </c>
      <c r="C29" s="7" t="inlineStr">
        <is>
          <t>アーカイブ済</t>
        </is>
      </c>
      <c r="D29" s="7" t="inlineStr">
        <is>
          <t>損失防止</t>
        </is>
      </c>
    </row>
    <row r="31" ht="43" customHeight="1">
      <c r="A31" s="9" t="inlineStr">
        <is>
          <t>【労働生産性の算定】月間24時間の省力化を年換算すると約288時間。これを平均時間単価で換算し、生み出した時間の付加価値創出への再配分と合わせ、一人当たり付加価値額の年平均成長率+5%以上を見込む。</t>
        </is>
      </c>
    </row>
    <row r="33" ht="43" customHeight="1">
      <c r="A33" s="9" t="inlineStr">
        <is>
          <t>【売上・利益への波及】削減時間の高付加価値業務への再配分と、本システムによる直接的な売上効果(機会損失の回収・客単価向上等)により、年間約130万円の収益改善を見込む。</t>
        </is>
      </c>
    </row>
  </sheetData>
  <mergeCells count="2">
    <mergeCell ref="A31:D31"/>
    <mergeCell ref="A33:D33"/>
  </mergeCells>
  <pageMargins left="0.35" right="0.35" top="0.4" bottom="0.4" header="0.1" footer="0.1"/>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D35"/>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5. 賃上げ計画(処遇改善)</t>
        </is>
      </c>
      <c r="D1" s="2" t="inlineStr">
        <is>
          <t>5 / 10</t>
        </is>
      </c>
    </row>
    <row r="3" ht="43" customHeight="1">
      <c r="A3" s="9" t="inlineStr">
        <is>
          <t>【業務改善助成金の賃金要件】【必須要件】事業場内最低賃金を60円以上引き上げ(本計画: 1180円→1240円)。生産性向上に資する設備投資等が対象。</t>
        </is>
      </c>
    </row>
    <row r="5">
      <c r="A5" s="5" t="inlineStr">
        <is>
          <t>賃金引上げ計画(数値は編集可能)</t>
        </is>
      </c>
    </row>
    <row r="6" ht="17" customHeight="1">
      <c r="A6" s="8" t="inlineStr">
        <is>
          <t>区分</t>
        </is>
      </c>
      <c r="B6" s="8" t="inlineStr">
        <is>
          <t>現行</t>
        </is>
      </c>
      <c r="C6" s="8" t="inlineStr">
        <is>
          <t>計画</t>
        </is>
      </c>
    </row>
    <row r="7" ht="17" customHeight="1">
      <c r="A7" s="7" t="inlineStr">
        <is>
          <t>事業場内最低賃金(円)</t>
        </is>
      </c>
      <c r="B7" s="7" t="n">
        <v>1180</v>
      </c>
      <c r="C7" s="7" t="n">
        <v>1240</v>
      </c>
    </row>
    <row r="8" ht="17" customHeight="1">
      <c r="A8" s="7" t="inlineStr">
        <is>
          <t>引上げ額(円)</t>
        </is>
      </c>
      <c r="B8" s="7" t="inlineStr">
        <is>
          <t>—</t>
        </is>
      </c>
      <c r="C8" s="7" t="inlineStr">
        <is>
          <t>+60</t>
        </is>
      </c>
    </row>
    <row r="9" ht="17" customHeight="1">
      <c r="A9" s="7" t="inlineStr">
        <is>
          <t>給与総額</t>
        </is>
      </c>
      <c r="B9" s="7" t="inlineStr">
        <is>
          <t>基準</t>
        </is>
      </c>
      <c r="C9" s="7" t="inlineStr">
        <is>
          <t>+3.5%/年</t>
        </is>
      </c>
    </row>
    <row r="10" ht="30" customHeight="1">
      <c r="A10" s="7" t="inlineStr">
        <is>
          <t>対象者</t>
        </is>
      </c>
      <c r="B10" s="7" t="inlineStr">
        <is>
          <t>全従業員(雇用保険被保険者)</t>
        </is>
      </c>
      <c r="C10" s="7" t="inlineStr"/>
    </row>
    <row r="12">
      <c r="A12" s="5" t="inlineStr">
        <is>
          <t>事業場内最低賃金の推移(円/時)</t>
        </is>
      </c>
    </row>
    <row r="13" ht="17" customHeight="1">
      <c r="A13" s="8" t="inlineStr">
        <is>
          <t>時点</t>
        </is>
      </c>
      <c r="B13" s="8" t="inlineStr">
        <is>
          <t>最低賃金</t>
        </is>
      </c>
    </row>
    <row r="14" ht="17" customHeight="1">
      <c r="A14" s="7" t="inlineStr">
        <is>
          <t>現行</t>
        </is>
      </c>
      <c r="B14" s="7" t="n">
        <v>1180</v>
      </c>
    </row>
    <row r="15" ht="17" customHeight="1">
      <c r="A15" s="7" t="inlineStr">
        <is>
          <t>計画1年</t>
        </is>
      </c>
      <c r="B15" s="7" t="n">
        <v>1240</v>
      </c>
    </row>
    <row r="16" ht="17" customHeight="1">
      <c r="A16" s="7" t="inlineStr">
        <is>
          <t>計画3年</t>
        </is>
      </c>
      <c r="B16" s="7" t="n">
        <v>1270</v>
      </c>
    </row>
    <row r="31">
      <c r="A31" s="5" t="inlineStr">
        <is>
          <t>社会保険労務士の視点(処遇改善の実効性)</t>
        </is>
      </c>
    </row>
    <row r="32" ht="17" customHeight="1">
      <c r="A32" s="8" t="inlineStr">
        <is>
          <t>観点</t>
        </is>
      </c>
      <c r="B32" s="8" t="inlineStr">
        <is>
          <t>内容</t>
        </is>
      </c>
    </row>
    <row r="33" ht="82" customHeight="1">
      <c r="A33" s="7" t="inlineStr">
        <is>
          <t>原資の確保</t>
        </is>
      </c>
      <c r="B33" s="7" t="inlineStr">
        <is>
          <t>本事業の省力化で生じた利益を賃上げ原資に充当し、無理のない持続的な賃金引上げを実現する。</t>
        </is>
      </c>
    </row>
    <row r="34" ht="82" customHeight="1">
      <c r="A34" s="7" t="inlineStr">
        <is>
          <t>就業規則の整備</t>
        </is>
      </c>
      <c r="B34" s="7" t="inlineStr">
        <is>
          <t>賃金規程を改定し、事業場内最低賃金の引上げを規程上も明確化。労働条件通知書へ反映する。</t>
        </is>
      </c>
    </row>
    <row r="35" ht="95" customHeight="1">
      <c r="A35" s="7" t="inlineStr">
        <is>
          <t>労働時間の適正化</t>
        </is>
      </c>
      <c r="B35" s="7" t="inlineStr">
        <is>
          <t>省力化で残業を圧縮し、勤務間インターバルと有給取得を促進。働きやすさと処遇の両面で職場を改善する。</t>
        </is>
      </c>
    </row>
  </sheetData>
  <mergeCells count="1">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E6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6. 資金計画・投資回収(税理士の視点)</t>
        </is>
      </c>
      <c r="D1" s="2" t="inlineStr">
        <is>
          <t>6 / 10</t>
        </is>
      </c>
    </row>
    <row r="3">
      <c r="A3" s="5" t="inlineStr">
        <is>
          <t>投資内訳(万円・編集可能)</t>
        </is>
      </c>
    </row>
    <row r="4" ht="17" customHeight="1">
      <c r="A4" s="8" t="inlineStr">
        <is>
          <t>項目</t>
        </is>
      </c>
      <c r="B4" s="8" t="inlineStr">
        <is>
          <t>金額(万円)</t>
        </is>
      </c>
    </row>
    <row r="5" ht="30" customHeight="1">
      <c r="A5" s="7" t="inlineStr">
        <is>
          <t>AI動画教材生成・学習管理システム(3年)</t>
        </is>
      </c>
      <c r="B5" s="7" t="inlineStr">
        <is>
          <t>96</t>
        </is>
      </c>
    </row>
    <row r="6" ht="17" customHeight="1">
      <c r="A6" s="7" t="inlineStr">
        <is>
          <t>撮影機材・編集基盤</t>
        </is>
      </c>
      <c r="B6" s="7" t="inlineStr">
        <is>
          <t>34</t>
        </is>
      </c>
    </row>
    <row r="7" ht="17" customHeight="1">
      <c r="A7" s="7" t="inlineStr">
        <is>
          <t>初期教材ライブラリ構築</t>
        </is>
      </c>
      <c r="B7" s="7" t="inlineStr">
        <is>
          <t>26</t>
        </is>
      </c>
    </row>
    <row r="8" ht="17" customHeight="1">
      <c r="A8" s="7" t="inlineStr">
        <is>
          <t>運用研修</t>
        </is>
      </c>
      <c r="B8" s="7" t="inlineStr">
        <is>
          <t>14</t>
        </is>
      </c>
    </row>
    <row r="23" ht="17" customHeight="1">
      <c r="A23" s="6" t="inlineStr">
        <is>
          <t>投資総額(万円)</t>
        </is>
      </c>
      <c r="B23" s="7" t="n">
        <v>170</v>
      </c>
    </row>
    <row r="24" ht="17" customHeight="1">
      <c r="A24" s="6" t="inlineStr">
        <is>
          <t>補助金(3/4)(万円)</t>
        </is>
      </c>
      <c r="B24" s="7" t="n">
        <v>-128</v>
      </c>
    </row>
    <row r="25" ht="17" customHeight="1">
      <c r="A25" s="6" t="inlineStr">
        <is>
          <t>自己負担額(万円)</t>
        </is>
      </c>
      <c r="B25" s="7" t="n">
        <v>42</v>
      </c>
    </row>
    <row r="27">
      <c r="A27" s="5" t="inlineStr">
        <is>
          <t>資金調達</t>
        </is>
      </c>
    </row>
    <row r="28" ht="17" customHeight="1">
      <c r="A28" s="8" t="inlineStr">
        <is>
          <t>区分</t>
        </is>
      </c>
      <c r="B28" s="8" t="inlineStr">
        <is>
          <t>金額(万円)</t>
        </is>
      </c>
    </row>
    <row r="29" ht="17" customHeight="1">
      <c r="A29" s="7" t="inlineStr">
        <is>
          <t>補助金</t>
        </is>
      </c>
      <c r="B29" s="7" t="n">
        <v>128</v>
      </c>
    </row>
    <row r="30" ht="17" customHeight="1">
      <c r="A30" s="7" t="inlineStr">
        <is>
          <t>自己資金</t>
        </is>
      </c>
      <c r="B30" s="7" t="n">
        <v>21</v>
      </c>
    </row>
    <row r="31" ht="17" customHeight="1">
      <c r="A31" s="7" t="inlineStr">
        <is>
          <t>金融機関借入</t>
        </is>
      </c>
      <c r="B31" s="7" t="n">
        <v>21</v>
      </c>
    </row>
    <row r="33">
      <c r="A33" s="5" t="inlineStr">
        <is>
          <t>累積キャッシュフロー(万円)</t>
        </is>
      </c>
    </row>
    <row r="34" ht="17" customHeight="1">
      <c r="A34" s="8" t="inlineStr">
        <is>
          <t>時点</t>
        </is>
      </c>
      <c r="B34" s="8" t="inlineStr">
        <is>
          <t>累積CF</t>
        </is>
      </c>
    </row>
    <row r="35" ht="17" customHeight="1">
      <c r="A35" s="7" t="inlineStr">
        <is>
          <t>導入時</t>
        </is>
      </c>
      <c r="B35" s="7" t="n">
        <v>-42</v>
      </c>
    </row>
    <row r="36" ht="17" customHeight="1">
      <c r="A36" s="7" t="inlineStr">
        <is>
          <t>1年目</t>
        </is>
      </c>
      <c r="B36" s="7" t="n">
        <v>65</v>
      </c>
    </row>
    <row r="37" ht="17" customHeight="1">
      <c r="A37" s="7" t="inlineStr">
        <is>
          <t>2年目</t>
        </is>
      </c>
      <c r="B37" s="7" t="n">
        <v>172</v>
      </c>
    </row>
    <row r="38" ht="17" customHeight="1">
      <c r="A38" s="7" t="inlineStr">
        <is>
          <t>3年目</t>
        </is>
      </c>
      <c r="B38" s="7" t="n">
        <v>279</v>
      </c>
    </row>
    <row r="39" ht="17" customHeight="1">
      <c r="A39" s="7" t="inlineStr">
        <is>
          <t>4年目</t>
        </is>
      </c>
      <c r="B39" s="7" t="n">
        <v>386</v>
      </c>
    </row>
    <row r="54">
      <c r="A54" s="5" t="inlineStr">
        <is>
          <t>年間収支</t>
        </is>
      </c>
    </row>
    <row r="55" ht="17" customHeight="1">
      <c r="A55" s="8" t="inlineStr">
        <is>
          <t>区分</t>
        </is>
      </c>
      <c r="B55" s="8" t="inlineStr">
        <is>
          <t>導入時</t>
        </is>
      </c>
      <c r="C55" s="8" t="inlineStr">
        <is>
          <t>1年目</t>
        </is>
      </c>
      <c r="D55" s="8" t="inlineStr">
        <is>
          <t>2年目</t>
        </is>
      </c>
      <c r="E55" s="8" t="inlineStr">
        <is>
          <t>3年目</t>
        </is>
      </c>
    </row>
    <row r="56" ht="17" customHeight="1">
      <c r="A56" s="7" t="inlineStr">
        <is>
          <t>収益改善効果</t>
        </is>
      </c>
      <c r="B56" s="7" t="inlineStr">
        <is>
          <t>—</t>
        </is>
      </c>
      <c r="C56" s="7" t="n">
        <v>130</v>
      </c>
      <c r="D56" s="7" t="n">
        <v>130</v>
      </c>
      <c r="E56" s="7" t="n">
        <v>130</v>
      </c>
    </row>
    <row r="57" ht="17" customHeight="1">
      <c r="A57" s="7" t="inlineStr">
        <is>
          <t>保守・運用費</t>
        </is>
      </c>
      <c r="B57" s="7" t="inlineStr">
        <is>
          <t>—</t>
        </is>
      </c>
      <c r="C57" s="7" t="n">
        <v>-23</v>
      </c>
      <c r="D57" s="7" t="n">
        <v>-23</v>
      </c>
      <c r="E57" s="7" t="n">
        <v>-23</v>
      </c>
    </row>
    <row r="58" ht="17" customHeight="1">
      <c r="A58" s="7" t="inlineStr">
        <is>
          <t>減価償却(定額・5年)</t>
        </is>
      </c>
      <c r="B58" s="7" t="inlineStr">
        <is>
          <t>—</t>
        </is>
      </c>
      <c r="C58" s="7" t="n">
        <v>34</v>
      </c>
      <c r="D58" s="7" t="n">
        <v>34</v>
      </c>
      <c r="E58" s="7" t="n">
        <v>34</v>
      </c>
    </row>
    <row r="59" ht="17" customHeight="1">
      <c r="A59" s="7" t="inlineStr">
        <is>
          <t>年間純効果</t>
        </is>
      </c>
      <c r="B59" s="7" t="n">
        <v>-42</v>
      </c>
      <c r="C59" s="7" t="n">
        <v>107</v>
      </c>
      <c r="D59" s="7" t="n">
        <v>107</v>
      </c>
      <c r="E59" s="7" t="n">
        <v>107</v>
      </c>
    </row>
    <row r="61" ht="27.4" customHeight="1">
      <c r="A61" s="10" t="inlineStr">
        <is>
          <t>投資回収期間 約1.6年(自己負担ベース)。税務上はソフトウェア等を無形固定資産として計上し定額法で償却。中小企業向け税制の活用余地も税理士と精査する。</t>
        </is>
      </c>
    </row>
  </sheetData>
  <mergeCells count="1">
    <mergeCell ref="A61:E61"/>
  </mergeCells>
  <pageMargins left="0.35" right="0.35" top="0.4" bottom="0.4" header="0.1" footer="0.1"/>
  <pageSetup orientation="portrait" paperSize="9" fitToHeight="1"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D2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7. 実施体制・スケジュール</t>
        </is>
      </c>
      <c r="D1" s="2" t="inlineStr">
        <is>
          <t>7 / 10</t>
        </is>
      </c>
    </row>
    <row r="3">
      <c r="A3" s="5" t="inlineStr">
        <is>
          <t>スケジュール</t>
        </is>
      </c>
    </row>
    <row r="4" ht="17" customHeight="1">
      <c r="A4" s="8" t="inlineStr">
        <is>
          <t>時期</t>
        </is>
      </c>
      <c r="B4" s="8" t="inlineStr">
        <is>
          <t>内容</t>
        </is>
      </c>
    </row>
    <row r="5" ht="30" customHeight="1">
      <c r="A5" s="7" t="inlineStr">
        <is>
          <t>1か月目</t>
        </is>
      </c>
      <c r="B5" s="7" t="inlineStr">
        <is>
          <t>交付決定後 要件定義</t>
        </is>
      </c>
    </row>
    <row r="6" ht="30" customHeight="1">
      <c r="A6" s="7" t="inlineStr">
        <is>
          <t>2-3か月</t>
        </is>
      </c>
      <c r="B6" s="7" t="inlineStr">
        <is>
          <t>システム構築・既存連携</t>
        </is>
      </c>
    </row>
    <row r="7" ht="30" customHeight="1">
      <c r="A7" s="7" t="inlineStr">
        <is>
          <t>4か月目</t>
        </is>
      </c>
      <c r="B7" s="7" t="inlineStr">
        <is>
          <t>試験運用・データ移行</t>
        </is>
      </c>
    </row>
    <row r="8" ht="30" customHeight="1">
      <c r="A8" s="7" t="inlineStr">
        <is>
          <t>5か月目</t>
        </is>
      </c>
      <c r="B8" s="7" t="inlineStr">
        <is>
          <t>スタッフ研修・本稼働</t>
        </is>
      </c>
    </row>
    <row r="9" ht="30" customHeight="1">
      <c r="A9" s="7" t="inlineStr">
        <is>
          <t>6か月〜</t>
        </is>
      </c>
      <c r="B9" s="7" t="inlineStr">
        <is>
          <t>効果測定・改善運用</t>
        </is>
      </c>
    </row>
    <row r="11">
      <c r="A11" s="5" t="inlineStr">
        <is>
          <t>実施体制</t>
        </is>
      </c>
    </row>
    <row r="12" ht="17" customHeight="1">
      <c r="A12" s="8" t="inlineStr">
        <is>
          <t>役割</t>
        </is>
      </c>
      <c r="B12" s="8" t="inlineStr">
        <is>
          <t>担当</t>
        </is>
      </c>
    </row>
    <row r="13" ht="17" customHeight="1">
      <c r="A13" s="7" t="inlineStr">
        <is>
          <t>統括責任者</t>
        </is>
      </c>
      <c r="B13" s="7" t="inlineStr">
        <is>
          <t>代表者</t>
        </is>
      </c>
    </row>
    <row r="14" ht="17" customHeight="1">
      <c r="A14" s="7" t="inlineStr">
        <is>
          <t>現場推進</t>
        </is>
      </c>
      <c r="B14" s="7" t="inlineStr">
        <is>
          <t>店長</t>
        </is>
      </c>
    </row>
    <row r="15" ht="30" customHeight="1">
      <c r="A15" s="7" t="inlineStr">
        <is>
          <t>システム導入</t>
        </is>
      </c>
      <c r="B15" s="7" t="inlineStr">
        <is>
          <t>ベンダー+IT担当</t>
        </is>
      </c>
    </row>
    <row r="16" ht="17" customHeight="1">
      <c r="A16" s="7" t="inlineStr">
        <is>
          <t>効果測定</t>
        </is>
      </c>
      <c r="B16" s="7" t="inlineStr">
        <is>
          <t>店長+顧問税理士</t>
        </is>
      </c>
    </row>
    <row r="17" ht="30" customHeight="1">
      <c r="A17" s="7" t="inlineStr">
        <is>
          <t>労務・賃上げ</t>
        </is>
      </c>
      <c r="B17" s="7" t="inlineStr">
        <is>
          <t>顧問社会保険労務士</t>
        </is>
      </c>
    </row>
    <row r="19">
      <c r="A19" s="5" t="inlineStr">
        <is>
          <t>専門家連携</t>
        </is>
      </c>
    </row>
    <row r="20" ht="17" customHeight="1">
      <c r="A20" s="8" t="inlineStr">
        <is>
          <t>専門家</t>
        </is>
      </c>
      <c r="B20" s="8" t="inlineStr">
        <is>
          <t>役割</t>
        </is>
      </c>
    </row>
    <row r="21" ht="43" customHeight="1">
      <c r="A21" s="7" t="inlineStr">
        <is>
          <t>中小企業診断士</t>
        </is>
      </c>
      <c r="B21" s="7" t="inlineStr">
        <is>
          <t>事業計画の実現性・生産性向上効果を監修</t>
        </is>
      </c>
    </row>
    <row r="22" ht="43" customHeight="1">
      <c r="A22" s="7" t="inlineStr">
        <is>
          <t>税理士</t>
        </is>
      </c>
      <c r="B22" s="7" t="inlineStr">
        <is>
          <t>資金計画・投資回収・減価償却・補助金経理を支援</t>
        </is>
      </c>
    </row>
    <row r="23" ht="43" customHeight="1">
      <c r="A23" s="7" t="inlineStr">
        <is>
          <t>社会保険労務士</t>
        </is>
      </c>
      <c r="B23" s="7" t="inlineStr">
        <is>
          <t>賃上げ計画・就業規則・労務要件を監修</t>
        </is>
      </c>
    </row>
    <row r="24" ht="43" customHeight="1">
      <c r="A24" s="7" t="inlineStr">
        <is>
          <t>ITベンダー</t>
        </is>
      </c>
      <c r="B24" s="7" t="inlineStr">
        <is>
          <t>システム構築・保守・運用定着を担当</t>
        </is>
      </c>
    </row>
    <row r="26" ht="30" customHeight="1">
      <c r="A26" s="9" t="inlineStr">
        <is>
          <t>【交付決定前の発注厳禁】本事業の設備投資・契約は必ず交付決定後に着手する(事前着手は補助対象外)。スケジュールは交付決定を起点として設計している。</t>
        </is>
      </c>
    </row>
  </sheetData>
  <mergeCells count="1">
    <mergeCell ref="A26:D26"/>
  </mergeCells>
  <pageMargins left="0.35" right="0.35" top="0.4" bottom="0.4" header="0.1" footer="0.1"/>
  <pageSetup orientation="portrait" paperSize="9" fitToHeight="1" fitToWidth="1"/>
</worksheet>
</file>

<file path=xl/worksheets/sheet8.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8. リスクと対応策</t>
        </is>
      </c>
      <c r="D1" s="2" t="inlineStr">
        <is>
          <t>8 / 10</t>
        </is>
      </c>
    </row>
    <row r="3" ht="17" customHeight="1">
      <c r="A3" s="8" t="inlineStr">
        <is>
          <t>想定リスク</t>
        </is>
      </c>
      <c r="B3" s="8" t="inlineStr">
        <is>
          <t>対応策</t>
        </is>
      </c>
    </row>
    <row r="4" ht="82" customHeight="1">
      <c r="A4" s="7" t="inlineStr">
        <is>
          <t>動画だけでは伝わらない技術</t>
        </is>
      </c>
      <c r="B4" s="7" t="inlineStr">
        <is>
          <t>動画教材は反復学習の基盤とし、実技指導と併用。AIが習熟度を可視化し指導を弱点に集中させる。</t>
        </is>
      </c>
    </row>
    <row r="5" ht="82" customHeight="1">
      <c r="A5" s="7" t="inlineStr">
        <is>
          <t>ベテランの協力が得られない</t>
        </is>
      </c>
      <c r="B5" s="7" t="inlineStr">
        <is>
          <t>教材化はベテランの負担を増やさず(撮るだけ)、指導負荷を減らすメリットを丁寧に説明し協力を得る。</t>
        </is>
      </c>
    </row>
    <row r="6" ht="69" customHeight="1">
      <c r="A6" s="7" t="inlineStr">
        <is>
          <t>教材の陳腐化</t>
        </is>
      </c>
      <c r="B6" s="7" t="inlineStr">
        <is>
          <t>トレンド技術は随時撮影・追加。AIが古い教材を検出し更新を促す運用とする。</t>
        </is>
      </c>
    </row>
    <row r="7" ht="95" customHeight="1">
      <c r="A7" s="7" t="inlineStr">
        <is>
          <t>導入が定着しない</t>
        </is>
      </c>
      <c r="B7" s="7" t="inlineStr">
        <is>
          <t>スタッフ研修と段階導入で現場負担を抑え、KPIを可視化して効果を実感させる。ベンダーの伴走支援を契約に含める。</t>
        </is>
      </c>
    </row>
    <row r="8" ht="95" customHeight="1">
      <c r="A8" s="7" t="inlineStr">
        <is>
          <t>効果が計画に届かない</t>
        </is>
      </c>
      <c r="B8" s="7" t="inlineStr">
        <is>
          <t>月次でKPIをモニタリングし、AIの学習・設定を継続改善。四半期ごとにPDCAを回して軌道修正する。</t>
        </is>
      </c>
    </row>
    <row r="10" ht="27.4" customHeight="1">
      <c r="A10" s="10" t="inlineStr">
        <is>
          <t>主要リスクはいずれも発生確率・影響度ともに管理可能な範囲にあり、対応策を講じることで事業計画の達成可能性は高いと評価する。</t>
        </is>
      </c>
    </row>
  </sheetData>
  <mergeCells count="1">
    <mergeCell ref="A10:D10"/>
  </mergeCells>
  <pageMargins left="0.35" right="0.35" top="0.4" bottom="0.4" header="0.1" footer="0.1"/>
  <pageSetup orientation="portrait" paperSize="9" fitToHeight="1" fitToWidth="1"/>
</worksheet>
</file>

<file path=xl/worksheets/sheet9.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9. 地域・業界への波及効果</t>
        </is>
      </c>
      <c r="D1" s="2" t="inlineStr">
        <is>
          <t>9 / 10</t>
        </is>
      </c>
    </row>
    <row r="3" ht="43" customHeight="1">
      <c r="A3" s="4" t="inlineStr">
        <is>
          <t>育成の効率化と技術の資産化は、人材不足と技術継承が課題の美容業界に持続可能な育成モデルを示す。一人当たり付加価値の向上は賃上げの原資となり、地域の雇用の質を高める好循環を生む。</t>
        </is>
      </c>
    </row>
    <row r="4">
      <c r="A4" s="5" t="inlineStr">
        <is>
          <t>3つの波及効果</t>
        </is>
      </c>
    </row>
    <row r="5" ht="17" customHeight="1">
      <c r="A5" s="8" t="inlineStr">
        <is>
          <t>観点</t>
        </is>
      </c>
      <c r="B5" s="8" t="inlineStr">
        <is>
          <t>内容</t>
        </is>
      </c>
    </row>
    <row r="6" ht="69" customHeight="1">
      <c r="A6" s="7" t="inlineStr">
        <is>
          <t>雇用の質の向上</t>
        </is>
      </c>
      <c r="B6" s="7" t="inlineStr">
        <is>
          <t>生産性向上を原資とした賃上げと働き方改善で、地域の雇用の魅力を高める。</t>
        </is>
      </c>
    </row>
    <row r="7" ht="69" customHeight="1">
      <c r="A7" s="7" t="inlineStr">
        <is>
          <t>モデルの横展開</t>
        </is>
      </c>
      <c r="B7" s="7" t="inlineStr">
        <is>
          <t>本事業のノウハウは同業・近隣他業種へ展開可能で、地域全体のDXを牽引する。</t>
        </is>
      </c>
    </row>
    <row r="8" ht="56" customHeight="1">
      <c r="A8" s="7" t="inlineStr">
        <is>
          <t>顧客利便性の向上</t>
        </is>
      </c>
      <c r="B8" s="7" t="inlineStr">
        <is>
          <t>サービス品質と利便性の向上が、地域住民・来訪者の満足度を高める。</t>
        </is>
      </c>
    </row>
    <row r="10" ht="56" customHeight="1">
      <c r="A10" s="9" t="inlineStr">
        <is>
          <t>【中小企業診断士の視点】本事業は単なる業務効率化にとどまらず、省力化で創出した経営資源を高付加価値活動へ再配分する経営変革である。人手不足という構造的制約を乗り越え、小規模事業者が持続的に成長するための投資であり、地域経済の担い手としての基盤強化に資する。</t>
        </is>
      </c>
    </row>
  </sheetData>
  <mergeCells count="2">
    <mergeCell ref="A10:D10"/>
    <mergeCell ref="A3:D3"/>
  </mergeCells>
  <pageMargins left="0.35" right="0.35" top="0.4" bottom="0.4" header="0.1" footer="0.1"/>
  <pageSetup orientation="portrait" paperSize="9" fitToHeight="1" fitToWidth="1"/>
</worksheet>
</file>

<file path=xl/worksheets/sheet10.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10. 要件チェック・他制度転用</t>
        </is>
      </c>
      <c r="D1" s="2" t="inlineStr">
        <is>
          <t>10 / 10</t>
        </is>
      </c>
    </row>
    <row r="3">
      <c r="A3" s="5" t="inlineStr">
        <is>
          <t>補助要件チェックリスト</t>
        </is>
      </c>
    </row>
    <row r="4" ht="17" customHeight="1">
      <c r="A4" s="8" t="inlineStr">
        <is>
          <t>要件</t>
        </is>
      </c>
      <c r="B4" s="8" t="inlineStr">
        <is>
          <t>本計画の対応</t>
        </is>
      </c>
      <c r="C4" s="8" t="inlineStr">
        <is>
          <t>判定</t>
        </is>
      </c>
    </row>
    <row r="5" ht="43" customHeight="1">
      <c r="A5" s="7" t="inlineStr">
        <is>
          <t>業務改善助成金の対象事業者</t>
        </is>
      </c>
      <c r="B5" s="7" t="inlineStr">
        <is>
          <t>中小企業・小規模事業者(美容業)に該当</t>
        </is>
      </c>
      <c r="C5" s="7" t="inlineStr">
        <is>
          <t>✔</t>
        </is>
      </c>
    </row>
    <row r="6" ht="43" customHeight="1">
      <c r="A6" s="7" t="inlineStr">
        <is>
          <t>省力化・生産性向上効果</t>
        </is>
      </c>
      <c r="B6" s="7" t="inlineStr">
        <is>
          <t>月24時間削減・KPI改善を定量提示</t>
        </is>
      </c>
      <c r="C6" s="7" t="inlineStr">
        <is>
          <t>✔</t>
        </is>
      </c>
    </row>
    <row r="7" ht="30" customHeight="1">
      <c r="A7" s="7" t="inlineStr">
        <is>
          <t>事業場内最低賃金の引上げ</t>
        </is>
      </c>
      <c r="B7" s="7" t="inlineStr">
        <is>
          <t>+60円の引上げを計画</t>
        </is>
      </c>
      <c r="C7" s="7" t="inlineStr">
        <is>
          <t>✔</t>
        </is>
      </c>
    </row>
    <row r="8" ht="30" customHeight="1">
      <c r="A8" s="7" t="inlineStr">
        <is>
          <t>交付決定後の発注</t>
        </is>
      </c>
      <c r="B8" s="7" t="inlineStr">
        <is>
          <t>スケジュールを交付決定起点で設計</t>
        </is>
      </c>
      <c r="C8" s="7" t="inlineStr">
        <is>
          <t>✔</t>
        </is>
      </c>
    </row>
    <row r="9" ht="43" customHeight="1">
      <c r="A9" s="7" t="inlineStr">
        <is>
          <t>事業計画の実現可能性</t>
        </is>
      </c>
      <c r="B9" s="7" t="inlineStr">
        <is>
          <t>実機プロトタイプ・専門家連携で裏付け</t>
        </is>
      </c>
      <c r="C9" s="7" t="inlineStr">
        <is>
          <t>✔</t>
        </is>
      </c>
    </row>
    <row r="10" ht="30" customHeight="1">
      <c r="A10" s="7" t="inlineStr">
        <is>
          <t>投資回収の妥当性</t>
        </is>
      </c>
      <c r="B10" s="7" t="inlineStr">
        <is>
          <t>約1.6年で回収、CF計画を提示</t>
        </is>
      </c>
      <c r="C10" s="7" t="inlineStr">
        <is>
          <t>✔</t>
        </is>
      </c>
    </row>
    <row r="12" ht="56" customHeight="1">
      <c r="A12" s="9" t="inlineStr">
        <is>
          <t>【本計画のメイン: 業務改善助成金】本事業は賃上げと業務改善の親和性が高いため業務改善助成金を主軸とした。一方、投資規模を拡大し省力化効果を前面に出せば省力化投資補助金(一般型)への転用も可能。その場合は補助上限が大きく、大幅賃上げ特例で補助率2/3を狙える。</t>
        </is>
      </c>
    </row>
    <row r="14" ht="56" customHeight="1">
      <c r="A14" s="9" t="inlineStr">
        <is>
          <t>【重要】本計画書はデモ用のサンプルです。数値(賃金・売上・投資額等)は仮置きであり、実際の申請にあたっては①自社の実績データへの差し替え ②最新の公募要領との突合 ③認定支援機関・専門家(中小企業診断士・税理士・社会保険労務士)による確認が必須です。補助金の採択を保証するものではありません。</t>
        </is>
      </c>
    </row>
    <row r="16" ht="69" customHeight="1">
      <c r="A16" s="6" t="inlineStr">
        <is>
          <t>参照した最新公募情報(2026年時点)</t>
        </is>
      </c>
      <c r="B16" s="7" t="inlineStr">
        <is>
          <t>省力化投資補助金(一般型)第6・7回公募 / 業務改善助成金 令和8年度</t>
        </is>
      </c>
    </row>
  </sheetData>
  <mergeCells count="2">
    <mergeCell ref="A12:D12"/>
    <mergeCell ref="A14:D14"/>
  </mergeCells>
  <pageMargins left="0.35" right="0.35" top="0.4" bottom="0.4" header="0.1" footer="0.1"/>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2026-07-25T13:33:44Z</dcterms:created>
  <dcterms:modified xmlns:dcterms="http://purl.org/dc/terms/" xmlns:xsi="http://www.w3.org/2001/XMLSchema-instance" xsi:type="dcterms:W3CDTF">2026-07-25T13:33:44Z</dcterms:modified>
</cp:coreProperties>
</file>